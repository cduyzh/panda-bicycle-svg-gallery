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评分结果" sheetId="1" state="visible" r:id="rId3"/>
    <sheet name="评分制度" sheetId="2" state="visible" r:id="rId4"/>
    <sheet name="权重模拟" sheetId="3" state="visible" r:id="rId5"/>
    <sheet name="自检证据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<sst xmlns="http://schemas.openxmlformats.org/spreadsheetml/2006/main" count="193" uniqueCount="167">
  <si>
    <r>
      <rPr>
        <b val="true"/>
        <sz val="14"/>
        <rFont val="Noto Sans CJK SC"/>
        <family val="2"/>
      </rPr>
      <t xml:space="preserve">熊猫骑自行车 </t>
    </r>
    <r>
      <rPr>
        <b val="true"/>
        <sz val="14"/>
        <rFont val="Arial"/>
        <family val="0"/>
        <charset val="1"/>
      </rPr>
      <t xml:space="preserve">SVG </t>
    </r>
    <r>
      <rPr>
        <b val="true"/>
        <sz val="14"/>
        <rFont val="Noto Sans CJK SC"/>
        <family val="2"/>
      </rPr>
      <t xml:space="preserve">动画评分结果（</t>
    </r>
    <r>
      <rPr>
        <b val="true"/>
        <sz val="14"/>
        <rFont val="Arial"/>
        <family val="0"/>
        <charset val="1"/>
      </rPr>
      <t xml:space="preserve">15 </t>
    </r>
    <r>
      <rPr>
        <b val="true"/>
        <sz val="14"/>
        <rFont val="Noto Sans CJK SC"/>
        <family val="2"/>
      </rPr>
      <t xml:space="preserve">个文件，</t>
    </r>
    <r>
      <rPr>
        <b val="true"/>
        <sz val="14"/>
        <rFont val="Arial"/>
        <family val="0"/>
        <charset val="1"/>
      </rPr>
      <t xml:space="preserve">100 </t>
    </r>
    <r>
      <rPr>
        <b val="true"/>
        <sz val="14"/>
        <rFont val="Noto Sans CJK SC"/>
        <family val="2"/>
      </rPr>
      <t xml:space="preserve">分制）</t>
    </r>
  </si>
  <si>
    <r>
      <rPr>
        <i val="true"/>
        <sz val="9"/>
        <color rgb="FF595959"/>
        <rFont val="Noto Sans CJK SC"/>
        <family val="2"/>
      </rPr>
      <t xml:space="preserve">图例：蓝色</t>
    </r>
    <r>
      <rPr>
        <i val="true"/>
        <sz val="9"/>
        <color rgb="FF595959"/>
        <rFont val="Arial"/>
        <family val="0"/>
        <charset val="1"/>
      </rPr>
      <t xml:space="preserve">=</t>
    </r>
    <r>
      <rPr>
        <i val="true"/>
        <sz val="9"/>
        <color rgb="FF595959"/>
        <rFont val="Noto Sans CJK SC"/>
        <family val="2"/>
      </rPr>
      <t xml:space="preserve">评分输入（可改）；黑色</t>
    </r>
    <r>
      <rPr>
        <i val="true"/>
        <sz val="9"/>
        <color rgb="FF595959"/>
        <rFont val="Arial"/>
        <family val="0"/>
        <charset val="1"/>
      </rPr>
      <t xml:space="preserve">=</t>
    </r>
    <r>
      <rPr>
        <i val="true"/>
        <sz val="9"/>
        <color rgb="FF595959"/>
        <rFont val="Noto Sans CJK SC"/>
        <family val="2"/>
      </rPr>
      <t xml:space="preserve">公式；绿色</t>
    </r>
    <r>
      <rPr>
        <i val="true"/>
        <sz val="9"/>
        <color rgb="FF595959"/>
        <rFont val="Arial"/>
        <family val="0"/>
        <charset val="1"/>
      </rPr>
      <t xml:space="preserve">=</t>
    </r>
    <r>
      <rPr>
        <i val="true"/>
        <sz val="9"/>
        <color rgb="FF595959"/>
        <rFont val="Noto Sans CJK SC"/>
        <family val="2"/>
      </rPr>
      <t xml:space="preserve">引用</t>
    </r>
    <r>
      <rPr>
        <i val="true"/>
        <sz val="9"/>
        <color rgb="FF595959"/>
        <rFont val="Arial"/>
        <family val="0"/>
        <charset val="1"/>
      </rPr>
      <t xml:space="preserve">"</t>
    </r>
    <r>
      <rPr>
        <i val="true"/>
        <sz val="9"/>
        <color rgb="FF595959"/>
        <rFont val="Noto Sans CJK SC"/>
        <family val="2"/>
      </rPr>
      <t xml:space="preserve">评分制度</t>
    </r>
    <r>
      <rPr>
        <i val="true"/>
        <sz val="9"/>
        <color rgb="FF595959"/>
        <rFont val="Arial"/>
        <family val="0"/>
        <charset val="1"/>
      </rPr>
      <t xml:space="preserve">"</t>
    </r>
    <r>
      <rPr>
        <i val="true"/>
        <sz val="9"/>
        <color rgb="FF595959"/>
        <rFont val="Noto Sans CJK SC"/>
        <family val="2"/>
      </rPr>
      <t xml:space="preserve">表；黄色底</t>
    </r>
    <r>
      <rPr>
        <i val="true"/>
        <sz val="9"/>
        <color rgb="FF595959"/>
        <rFont val="Arial"/>
        <family val="0"/>
        <charset val="1"/>
      </rPr>
      <t xml:space="preserve">=</t>
    </r>
    <r>
      <rPr>
        <i val="true"/>
        <sz val="9"/>
        <color rgb="FF595959"/>
        <rFont val="Noto Sans CJK SC"/>
        <family val="2"/>
      </rPr>
      <t xml:space="preserve">本对话中 </t>
    </r>
    <r>
      <rPr>
        <i val="true"/>
        <sz val="9"/>
        <color rgb="FF595959"/>
        <rFont val="Arial"/>
        <family val="0"/>
        <charset val="1"/>
      </rPr>
      <t xml:space="preserve">Claude </t>
    </r>
    <r>
      <rPr>
        <i val="true"/>
        <sz val="9"/>
        <color rgb="FF595959"/>
        <rFont val="Noto Sans CJK SC"/>
        <family val="2"/>
      </rPr>
      <t xml:space="preserve">自己生成的文件（与 </t>
    </r>
    <r>
      <rPr>
        <i val="true"/>
        <sz val="9"/>
        <color rgb="FF595959"/>
        <rFont val="Arial"/>
        <family val="0"/>
        <charset val="1"/>
      </rPr>
      <t xml:space="preserve">Sonnet5_5_Extra_1.svg </t>
    </r>
    <r>
      <rPr>
        <i val="true"/>
        <sz val="9"/>
        <color rgb="FF595959"/>
        <rFont val="Noto Sans CJK SC"/>
        <family val="2"/>
      </rPr>
      <t xml:space="preserve">逐字节相同，存在利益冲突）。评分有 </t>
    </r>
    <r>
      <rPr>
        <i val="true"/>
        <sz val="9"/>
        <color rgb="FF595959"/>
        <rFont val="Arial"/>
        <family val="0"/>
        <charset val="1"/>
      </rPr>
      <t xml:space="preserve">±3 </t>
    </r>
    <r>
      <rPr>
        <i val="true"/>
        <sz val="9"/>
        <color rgb="FF595959"/>
        <rFont val="Noto Sans CJK SC"/>
        <family val="2"/>
      </rPr>
      <t xml:space="preserve">分的主观误差。</t>
    </r>
  </si>
  <si>
    <r>
      <rPr>
        <b val="true"/>
        <sz val="10"/>
        <color rgb="FFFFFFFF"/>
        <rFont val="Arial"/>
        <family val="0"/>
        <charset val="1"/>
      </rPr>
      <t xml:space="preserve">A </t>
    </r>
    <r>
      <rPr>
        <b val="true"/>
        <sz val="10"/>
        <color rgb="FFFFFFFF"/>
        <rFont val="Noto Sans CJK SC"/>
        <family val="2"/>
      </rPr>
      <t xml:space="preserve">形象还原</t>
    </r>
  </si>
  <si>
    <r>
      <rPr>
        <b val="true"/>
        <sz val="10"/>
        <color rgb="FFFFFFFF"/>
        <rFont val="Arial"/>
        <family val="0"/>
        <charset val="1"/>
      </rPr>
      <t xml:space="preserve">B </t>
    </r>
    <r>
      <rPr>
        <b val="true"/>
        <sz val="10"/>
        <color rgb="FFFFFFFF"/>
        <rFont val="Noto Sans CJK SC"/>
        <family val="2"/>
      </rPr>
      <t xml:space="preserve">动画</t>
    </r>
  </si>
  <si>
    <r>
      <rPr>
        <b val="true"/>
        <sz val="10"/>
        <color rgb="FFFFFFFF"/>
        <rFont val="Arial"/>
        <family val="0"/>
        <charset val="1"/>
      </rPr>
      <t xml:space="preserve">C </t>
    </r>
    <r>
      <rPr>
        <b val="true"/>
        <sz val="10"/>
        <color rgb="FFFFFFFF"/>
        <rFont val="Noto Sans CJK SC"/>
        <family val="2"/>
      </rPr>
      <t xml:space="preserve">视觉设计</t>
    </r>
  </si>
  <si>
    <r>
      <rPr>
        <b val="true"/>
        <sz val="10"/>
        <color rgb="FFFFFFFF"/>
        <rFont val="Arial"/>
        <family val="0"/>
        <charset val="1"/>
      </rPr>
      <t xml:space="preserve">D </t>
    </r>
    <r>
      <rPr>
        <b val="true"/>
        <sz val="10"/>
        <color rgb="FFFFFFFF"/>
        <rFont val="Noto Sans CJK SC"/>
        <family val="2"/>
      </rPr>
      <t xml:space="preserve">技术</t>
    </r>
  </si>
  <si>
    <t xml:space="preserve">维度小计</t>
  </si>
  <si>
    <t xml:space="preserve">排名</t>
  </si>
  <si>
    <t xml:space="preserve">文件</t>
  </si>
  <si>
    <r>
      <rPr>
        <b val="true"/>
        <sz val="10"/>
        <color rgb="FFFFFFFF"/>
        <rFont val="Arial"/>
        <family val="0"/>
        <charset val="1"/>
      </rPr>
      <t xml:space="preserve">A1 </t>
    </r>
    <r>
      <rPr>
        <b val="true"/>
        <sz val="10"/>
        <color rgb="FFFFFFFF"/>
        <rFont val="Noto Sans CJK SC"/>
        <family val="2"/>
      </rPr>
      <t xml:space="preserve">熊猫辨识度</t>
    </r>
  </si>
  <si>
    <r>
      <rPr>
        <b val="true"/>
        <sz val="10"/>
        <color rgb="FFFFFFFF"/>
        <rFont val="Arial"/>
        <family val="0"/>
        <charset val="1"/>
      </rPr>
      <t xml:space="preserve">A2 </t>
    </r>
    <r>
      <rPr>
        <b val="true"/>
        <sz val="10"/>
        <color rgb="FFFFFFFF"/>
        <rFont val="Noto Sans CJK SC"/>
        <family val="2"/>
      </rPr>
      <t xml:space="preserve">自行车结构</t>
    </r>
  </si>
  <si>
    <r>
      <rPr>
        <b val="true"/>
        <sz val="10"/>
        <color rgb="FFFFFFFF"/>
        <rFont val="Arial"/>
        <family val="0"/>
        <charset val="1"/>
      </rPr>
      <t xml:space="preserve">A3 </t>
    </r>
    <r>
      <rPr>
        <b val="true"/>
        <sz val="10"/>
        <color rgb="FFFFFFFF"/>
        <rFont val="Noto Sans CJK SC"/>
        <family val="2"/>
      </rPr>
      <t xml:space="preserve">人车融合</t>
    </r>
  </si>
  <si>
    <r>
      <rPr>
        <b val="true"/>
        <sz val="10"/>
        <color rgb="FFFFFFFF"/>
        <rFont val="Arial"/>
        <family val="0"/>
        <charset val="1"/>
      </rPr>
      <t xml:space="preserve">B1 </t>
    </r>
    <r>
      <rPr>
        <b val="true"/>
        <sz val="10"/>
        <color rgb="FFFFFFFF"/>
        <rFont val="Noto Sans CJK SC"/>
        <family val="2"/>
      </rPr>
      <t xml:space="preserve">核心动作</t>
    </r>
  </si>
  <si>
    <r>
      <rPr>
        <b val="true"/>
        <sz val="10"/>
        <color rgb="FFFFFFFF"/>
        <rFont val="Arial"/>
        <family val="0"/>
        <charset val="1"/>
      </rPr>
      <t xml:space="preserve">B2 </t>
    </r>
    <r>
      <rPr>
        <b val="true"/>
        <sz val="10"/>
        <color rgb="FFFFFFFF"/>
        <rFont val="Noto Sans CJK SC"/>
        <family val="2"/>
      </rPr>
      <t xml:space="preserve">次级动画</t>
    </r>
  </si>
  <si>
    <r>
      <rPr>
        <b val="true"/>
        <sz val="10"/>
        <color rgb="FFFFFFFF"/>
        <rFont val="Arial"/>
        <family val="0"/>
        <charset val="1"/>
      </rPr>
      <t xml:space="preserve">B3 </t>
    </r>
    <r>
      <rPr>
        <b val="true"/>
        <sz val="10"/>
        <color rgb="FFFFFFFF"/>
        <rFont val="Noto Sans CJK SC"/>
        <family val="2"/>
      </rPr>
      <t xml:space="preserve">速度感与环境</t>
    </r>
  </si>
  <si>
    <r>
      <rPr>
        <b val="true"/>
        <sz val="10"/>
        <color rgb="FFFFFFFF"/>
        <rFont val="Arial"/>
        <family val="0"/>
        <charset val="1"/>
      </rPr>
      <t xml:space="preserve">B4 </t>
    </r>
    <r>
      <rPr>
        <b val="true"/>
        <sz val="10"/>
        <color rgb="FFFFFFFF"/>
        <rFont val="Noto Sans CJK SC"/>
        <family val="2"/>
      </rPr>
      <t xml:space="preserve">循环与稳定</t>
    </r>
  </si>
  <si>
    <r>
      <rPr>
        <b val="true"/>
        <sz val="10"/>
        <color rgb="FFFFFFFF"/>
        <rFont val="Arial"/>
        <family val="0"/>
        <charset val="1"/>
      </rPr>
      <t xml:space="preserve">C1 </t>
    </r>
    <r>
      <rPr>
        <b val="true"/>
        <sz val="10"/>
        <color rgb="FFFFFFFF"/>
        <rFont val="Noto Sans CJK SC"/>
        <family val="2"/>
      </rPr>
      <t xml:space="preserve">构图配色</t>
    </r>
  </si>
  <si>
    <r>
      <rPr>
        <b val="true"/>
        <sz val="10"/>
        <color rgb="FFFFFFFF"/>
        <rFont val="Arial"/>
        <family val="0"/>
        <charset val="1"/>
      </rPr>
      <t xml:space="preserve">C2 </t>
    </r>
    <r>
      <rPr>
        <b val="true"/>
        <sz val="10"/>
        <color rgb="FFFFFFFF"/>
        <rFont val="Noto Sans CJK SC"/>
        <family val="2"/>
      </rPr>
      <t xml:space="preserve">场景层次</t>
    </r>
  </si>
  <si>
    <r>
      <rPr>
        <b val="true"/>
        <sz val="10"/>
        <color rgb="FFFFFFFF"/>
        <rFont val="Arial"/>
        <family val="0"/>
        <charset val="1"/>
      </rPr>
      <t xml:space="preserve">C3 </t>
    </r>
    <r>
      <rPr>
        <b val="true"/>
        <sz val="10"/>
        <color rgb="FFFFFFFF"/>
        <rFont val="Noto Sans CJK SC"/>
        <family val="2"/>
      </rPr>
      <t xml:space="preserve">细节完成度</t>
    </r>
  </si>
  <si>
    <r>
      <rPr>
        <b val="true"/>
        <sz val="10"/>
        <color rgb="FFFFFFFF"/>
        <rFont val="Arial"/>
        <family val="0"/>
        <charset val="1"/>
      </rPr>
      <t xml:space="preserve">D1 </t>
    </r>
    <r>
      <rPr>
        <b val="true"/>
        <sz val="10"/>
        <color rgb="FFFFFFFF"/>
        <rFont val="Noto Sans CJK SC"/>
        <family val="2"/>
      </rPr>
      <t xml:space="preserve">有效性与干净渲染</t>
    </r>
  </si>
  <si>
    <r>
      <rPr>
        <b val="true"/>
        <sz val="10"/>
        <color rgb="FFFFFFFF"/>
        <rFont val="Arial"/>
        <family val="0"/>
        <charset val="1"/>
      </rPr>
      <t xml:space="preserve">D2 </t>
    </r>
    <r>
      <rPr>
        <b val="true"/>
        <sz val="10"/>
        <color rgb="FFFFFFFF"/>
        <rFont val="Noto Sans CJK SC"/>
        <family val="2"/>
      </rPr>
      <t xml:space="preserve">实现质量</t>
    </r>
  </si>
  <si>
    <r>
      <rPr>
        <b val="true"/>
        <sz val="10"/>
        <color rgb="FFFFFFFF"/>
        <rFont val="Arial"/>
        <family val="0"/>
        <charset val="1"/>
      </rPr>
      <t xml:space="preserve">D3 </t>
    </r>
    <r>
      <rPr>
        <b val="true"/>
        <sz val="10"/>
        <color rgb="FFFFFFFF"/>
        <rFont val="Noto Sans CJK SC"/>
        <family val="2"/>
      </rPr>
      <t xml:space="preserve">健壮性</t>
    </r>
  </si>
  <si>
    <r>
      <rPr>
        <b val="true"/>
        <sz val="10"/>
        <color rgb="FFFFFFFF"/>
        <rFont val="Arial"/>
        <family val="0"/>
        <charset val="1"/>
      </rPr>
      <t xml:space="preserve">A </t>
    </r>
    <r>
      <rPr>
        <b val="true"/>
        <sz val="10"/>
        <color rgb="FFFFFFFF"/>
        <rFont val="Noto Sans CJK SC"/>
        <family val="2"/>
      </rPr>
      <t xml:space="preserve">形象</t>
    </r>
  </si>
  <si>
    <r>
      <rPr>
        <b val="true"/>
        <sz val="10"/>
        <color rgb="FFFFFFFF"/>
        <rFont val="Arial"/>
        <family val="0"/>
        <charset val="1"/>
      </rPr>
      <t xml:space="preserve">C </t>
    </r>
    <r>
      <rPr>
        <b val="true"/>
        <sz val="10"/>
        <color rgb="FFFFFFFF"/>
        <rFont val="Noto Sans CJK SC"/>
        <family val="2"/>
      </rPr>
      <t xml:space="preserve">视觉</t>
    </r>
  </si>
  <si>
    <t xml:space="preserve">总分</t>
  </si>
  <si>
    <t xml:space="preserve">档位</t>
  </si>
  <si>
    <t xml:space="preserve">一句话点评</t>
  </si>
  <si>
    <t xml:space="preserve">满分</t>
  </si>
  <si>
    <t xml:space="preserve">Sonnet5_5_Max-thinking</t>
  </si>
  <si>
    <r>
      <rPr>
        <sz val="10"/>
        <rFont val="Noto Sans CJK SC"/>
        <family val="2"/>
      </rPr>
      <t xml:space="preserve">熊猫最完整，多层竹林景深最好、蹬踏联动正确；骑姿偏直，文件最大（</t>
    </r>
    <r>
      <rPr>
        <sz val="10"/>
        <rFont val="Arial"/>
        <family val="0"/>
        <charset val="1"/>
      </rPr>
      <t xml:space="preserve">67KB</t>
    </r>
    <r>
      <rPr>
        <sz val="10"/>
        <rFont val="Noto Sans CJK SC"/>
        <family val="2"/>
      </rPr>
      <t xml:space="preserve">）</t>
    </r>
  </si>
  <si>
    <t xml:space="preserve">M3_1-Flash-Preview-Max</t>
  </si>
  <si>
    <t xml:space="preserve">趴伏骑姿速度感最强，围巾飘动；吻部带胡须像猫，背部黑块不像熊猫</t>
  </si>
  <si>
    <r>
      <rPr>
        <sz val="10"/>
        <rFont val="Arial"/>
        <family val="0"/>
        <charset val="1"/>
      </rPr>
      <t xml:space="preserve">DeepSeek-V4_1-Flash</t>
    </r>
    <r>
      <rPr>
        <sz val="10"/>
        <rFont val="Noto Sans CJK SC"/>
        <family val="2"/>
      </rPr>
      <t xml:space="preserve">最大</t>
    </r>
  </si>
  <si>
    <t xml:space="preserve">路牌、树、挡泥板等细节好，人车结合自然；正脸配侧身略不一致</t>
  </si>
  <si>
    <r>
      <rPr>
        <sz val="10"/>
        <rFont val="Arial"/>
        <family val="0"/>
        <charset val="1"/>
      </rPr>
      <t xml:space="preserve">Step-5-Preview</t>
    </r>
    <r>
      <rPr>
        <sz val="10"/>
        <rFont val="Noto Sans CJK SC"/>
        <family val="2"/>
      </rPr>
      <t xml:space="preserve">高</t>
    </r>
  </si>
  <si>
    <t xml:space="preserve">彩虹、飞鸟、橙围巾，结构完整；手臂偏长，侧脸辨识度稍弱</t>
  </si>
  <si>
    <r>
      <rPr>
        <sz val="10"/>
        <rFont val="Arial"/>
        <family val="0"/>
        <charset val="1"/>
      </rPr>
      <t xml:space="preserve">Seed-2_1-Turbo</t>
    </r>
    <r>
      <rPr>
        <sz val="10"/>
        <rFont val="Noto Sans CJK SC"/>
        <family val="2"/>
      </rPr>
      <t xml:space="preserve">高</t>
    </r>
  </si>
  <si>
    <r>
      <rPr>
        <sz val="10"/>
        <rFont val="Noto Sans CJK SC"/>
        <family val="2"/>
      </rPr>
      <t xml:space="preserve">夜景氛围和尾焰最强；头盔遮耳朵，气质偏离</t>
    </r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熊猫骑车</t>
    </r>
    <r>
      <rPr>
        <sz val="10"/>
        <rFont val="Arial"/>
        <family val="0"/>
        <charset val="1"/>
      </rPr>
      <t xml:space="preserve">"</t>
    </r>
  </si>
  <si>
    <t xml:space="preserve">Sonnet5_5_Extra_1</t>
  </si>
  <si>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Claude </t>
    </r>
    <r>
      <rPr>
        <sz val="10"/>
        <rFont val="Noto Sans CJK SC"/>
        <family val="2"/>
      </rPr>
      <t xml:space="preserve">自己生成）腿跟踪踏板，地面速度与车轮转速一致；场景层次不如第一名，大腿偏粗。首轮自评 </t>
    </r>
    <r>
      <rPr>
        <sz val="10"/>
        <rFont val="Arial"/>
        <family val="0"/>
        <charset val="1"/>
      </rPr>
      <t xml:space="preserve">88</t>
    </r>
    <r>
      <rPr>
        <sz val="10"/>
        <rFont val="Noto Sans CJK SC"/>
        <family val="2"/>
      </rPr>
      <t xml:space="preserve">，复核后扣 </t>
    </r>
    <r>
      <rPr>
        <sz val="10"/>
        <rFont val="Arial"/>
        <family val="0"/>
        <charset val="1"/>
      </rPr>
      <t xml:space="preserve">2 </t>
    </r>
    <r>
      <rPr>
        <sz val="10"/>
        <rFont val="Noto Sans CJK SC"/>
        <family val="2"/>
      </rPr>
      <t xml:space="preserve">分</t>
    </r>
  </si>
  <si>
    <t xml:space="preserve">DeepSeek_V4_1_Flash_Ultra</t>
  </si>
  <si>
    <t xml:space="preserve">山、树、蝴蝶、渐变天空最精致；熊猫偏灰米色，动作幅度偏小</t>
  </si>
  <si>
    <r>
      <rPr>
        <sz val="10"/>
        <rFont val="Arial"/>
        <family val="0"/>
        <charset val="1"/>
      </rPr>
      <t xml:space="preserve">Seed-Code-</t>
    </r>
    <r>
      <rPr>
        <sz val="10"/>
        <rFont val="Noto Sans CJK SC"/>
        <family val="2"/>
      </rPr>
      <t xml:space="preserve">高</t>
    </r>
  </si>
  <si>
    <r>
      <rPr>
        <sz val="10"/>
        <rFont val="Noto Sans CJK SC"/>
        <family val="2"/>
      </rPr>
      <t xml:space="preserve">与 </t>
    </r>
    <r>
      <rPr>
        <sz val="10"/>
        <rFont val="Arial"/>
        <family val="0"/>
        <charset val="1"/>
      </rPr>
      <t xml:space="preserve">Seed-2.1 </t>
    </r>
    <r>
      <rPr>
        <sz val="10"/>
        <rFont val="Noto Sans CJK SC"/>
        <family val="2"/>
      </rPr>
      <t xml:space="preserve">同骨架的代码主题，太暗，熊猫被背景吞没</t>
    </r>
  </si>
  <si>
    <r>
      <rPr>
        <sz val="10"/>
        <rFont val="Arial"/>
        <family val="0"/>
        <charset val="1"/>
      </rPr>
      <t xml:space="preserve">DeepSeek_V4_1_Flash</t>
    </r>
    <r>
      <rPr>
        <sz val="10"/>
        <rFont val="Noto Sans CJK SC"/>
        <family val="2"/>
      </rPr>
      <t xml:space="preserve">极高</t>
    </r>
  </si>
  <si>
    <t xml:space="preserve">红头盔造型好；首帧左上角闪现一个齿轮，篮子在后座，车架比例怪</t>
  </si>
  <si>
    <r>
      <rPr>
        <sz val="10"/>
        <rFont val="Arial"/>
        <family val="0"/>
        <charset val="1"/>
      </rPr>
      <t xml:space="preserve">MiniMax-M3</t>
    </r>
    <r>
      <rPr>
        <sz val="10"/>
        <rFont val="Noto Sans CJK SC"/>
        <family val="2"/>
      </rPr>
      <t xml:space="preserve">默认</t>
    </r>
  </si>
  <si>
    <t xml:space="preserve">黄昏配色很好；头与身体分离，手臂过长，腿像面条</t>
  </si>
  <si>
    <r>
      <rPr>
        <sz val="10"/>
        <rFont val="Arial"/>
        <family val="0"/>
        <charset val="1"/>
      </rPr>
      <t xml:space="preserve">M3-</t>
    </r>
    <r>
      <rPr>
        <sz val="10"/>
        <rFont val="Noto Sans CJK SC"/>
        <family val="2"/>
      </rPr>
      <t xml:space="preserve">默认</t>
    </r>
  </si>
  <si>
    <t xml:space="preserve">正脸可爱；腿细直，手臂线条过长，没有路面，滚动感弱</t>
  </si>
  <si>
    <t xml:space="preserve">DeepSeek_V4_Pro_Ultra_2</t>
  </si>
  <si>
    <t xml:space="preserve">樱花树和竹捆不错；脚掌与小腿脱开漂浮，蛋形身体悬在车座上</t>
  </si>
  <si>
    <t xml:space="preserve">GLM-5_3-FlashX-Max</t>
  </si>
  <si>
    <t xml:space="preserve">人和车偏小、留白多，腿是弯曲粗线，两个轮子各有一个分离的影子</t>
  </si>
  <si>
    <t xml:space="preserve">DeepSeek_V4_Pro_Ultra</t>
  </si>
  <si>
    <t xml:space="preserve">蛋形身体悬空，腿短够不到踏板</t>
  </si>
  <si>
    <r>
      <rPr>
        <sz val="10"/>
        <rFont val="Arial"/>
        <family val="0"/>
        <charset val="1"/>
      </rPr>
      <t xml:space="preserve">DeepSeek_V4_Pro_</t>
    </r>
    <r>
      <rPr>
        <sz val="10"/>
        <rFont val="Noto Sans CJK SC"/>
        <family val="2"/>
      </rPr>
      <t xml:space="preserve">极高</t>
    </r>
  </si>
  <si>
    <t xml:space="preserve">最简，头小，车架几何怪，动作幅度最低</t>
  </si>
  <si>
    <r>
      <rPr>
        <b val="true"/>
        <sz val="14"/>
        <rFont val="Noto Sans CJK SC"/>
        <family val="2"/>
      </rPr>
      <t xml:space="preserve">评分制度（满分 </t>
    </r>
    <r>
      <rPr>
        <b val="true"/>
        <sz val="14"/>
        <rFont val="Arial"/>
        <family val="0"/>
        <charset val="1"/>
      </rPr>
      <t xml:space="preserve">100</t>
    </r>
    <r>
      <rPr>
        <b val="true"/>
        <sz val="14"/>
        <rFont val="Noto Sans CJK SC"/>
        <family val="2"/>
      </rPr>
      <t xml:space="preserve">）——评价对象：提示词</t>
    </r>
    <r>
      <rPr>
        <b val="true"/>
        <sz val="14"/>
        <rFont val="Arial"/>
        <family val="0"/>
        <charset val="1"/>
      </rPr>
      <t xml:space="preserve">"</t>
    </r>
    <r>
      <rPr>
        <b val="true"/>
        <sz val="14"/>
        <rFont val="Noto Sans CJK SC"/>
        <family val="2"/>
      </rPr>
      <t xml:space="preserve">做一个 熊猫骑自行车 </t>
    </r>
    <r>
      <rPr>
        <b val="true"/>
        <sz val="14"/>
        <rFont val="Arial"/>
        <family val="0"/>
        <charset val="1"/>
      </rPr>
      <t xml:space="preserve">svg</t>
    </r>
    <r>
      <rPr>
        <b val="true"/>
        <sz val="14"/>
        <rFont val="Noto Sans CJK SC"/>
        <family val="2"/>
      </rPr>
      <t xml:space="preserve">动画</t>
    </r>
    <r>
      <rPr>
        <b val="true"/>
        <sz val="14"/>
        <rFont val="Arial"/>
        <family val="0"/>
        <charset val="1"/>
      </rPr>
      <t xml:space="preserve">"</t>
    </r>
    <r>
      <rPr>
        <b val="true"/>
        <sz val="14"/>
        <rFont val="Noto Sans CJK SC"/>
        <family val="2"/>
      </rPr>
      <t xml:space="preserve">生成的形象与动画</t>
    </r>
  </si>
  <si>
    <r>
      <rPr>
        <i val="true"/>
        <sz val="9"/>
        <color rgb="FF595959"/>
        <rFont val="Noto Sans CJK SC"/>
        <family val="2"/>
      </rPr>
      <t xml:space="preserve">分值与档位下限为蓝色输入，可修改；</t>
    </r>
    <r>
      <rPr>
        <i val="true"/>
        <sz val="9"/>
        <color rgb="FF595959"/>
        <rFont val="Arial"/>
        <family val="0"/>
        <charset val="1"/>
      </rPr>
      <t xml:space="preserve">"</t>
    </r>
    <r>
      <rPr>
        <i val="true"/>
        <sz val="9"/>
        <color rgb="FF595959"/>
        <rFont val="Noto Sans CJK SC"/>
        <family val="2"/>
      </rPr>
      <t xml:space="preserve">评分结果</t>
    </r>
    <r>
      <rPr>
        <i val="true"/>
        <sz val="9"/>
        <color rgb="FF595959"/>
        <rFont val="Arial"/>
        <family val="0"/>
        <charset val="1"/>
      </rPr>
      <t xml:space="preserve">"</t>
    </r>
    <r>
      <rPr>
        <i val="true"/>
        <sz val="9"/>
        <color rgb="FF595959"/>
        <rFont val="Noto Sans CJK SC"/>
        <family val="2"/>
      </rPr>
      <t xml:space="preserve">表的满分行与档位判定均引用本表。</t>
    </r>
  </si>
  <si>
    <t xml:space="preserve">维度</t>
  </si>
  <si>
    <t xml:space="preserve">代号</t>
  </si>
  <si>
    <t xml:space="preserve">小项</t>
  </si>
  <si>
    <t xml:space="preserve">分值</t>
  </si>
  <si>
    <t xml:space="preserve">评判标准</t>
  </si>
  <si>
    <r>
      <rPr>
        <sz val="10"/>
        <rFont val="Arial"/>
        <family val="0"/>
        <charset val="1"/>
      </rPr>
      <t xml:space="preserve">A </t>
    </r>
    <r>
      <rPr>
        <sz val="10"/>
        <rFont val="Noto Sans CJK SC"/>
        <family val="2"/>
      </rPr>
      <t xml:space="preserve">形象还原</t>
    </r>
  </si>
  <si>
    <t xml:space="preserve">A1</t>
  </si>
  <si>
    <t xml:space="preserve">熊猫辨识度</t>
  </si>
  <si>
    <t xml:space="preserve">黑耳、黑眼圈、黑四肢、白身体，可爱度与比例</t>
  </si>
  <si>
    <t xml:space="preserve">A2</t>
  </si>
  <si>
    <t xml:space="preserve">自行车结构</t>
  </si>
  <si>
    <t xml:space="preserve">车架、两轮、链条、踏板、车把是否合理</t>
  </si>
  <si>
    <t xml:space="preserve">A3</t>
  </si>
  <si>
    <t xml:space="preserve">人车融合</t>
  </si>
  <si>
    <t xml:space="preserve">坐在车座上、手握把、脚踩踏板，无悬空或脱节</t>
  </si>
  <si>
    <r>
      <rPr>
        <sz val="10"/>
        <rFont val="Arial"/>
        <family val="0"/>
        <charset val="1"/>
      </rPr>
      <t xml:space="preserve">B </t>
    </r>
    <r>
      <rPr>
        <sz val="10"/>
        <rFont val="Noto Sans CJK SC"/>
        <family val="2"/>
      </rPr>
      <t xml:space="preserve">动画</t>
    </r>
  </si>
  <si>
    <t xml:space="preserve">B1</t>
  </si>
  <si>
    <t xml:space="preserve">核心动作</t>
  </si>
  <si>
    <t xml:space="preserve">车轮转动、腿随踏板联动、动作幅度</t>
  </si>
  <si>
    <t xml:space="preserve">B2</t>
  </si>
  <si>
    <t xml:space="preserve">次级动画</t>
  </si>
  <si>
    <t xml:space="preserve">身体起伏、围巾、耳朵、眨眼等</t>
  </si>
  <si>
    <t xml:space="preserve">B3</t>
  </si>
  <si>
    <t xml:space="preserve">速度感与环境</t>
  </si>
  <si>
    <t xml:space="preserve">背景视差、地面滚动、速度线、扬尘</t>
  </si>
  <si>
    <t xml:space="preserve">B4</t>
  </si>
  <si>
    <t xml:space="preserve">循环与稳定</t>
  </si>
  <si>
    <t xml:space="preserve">无闪烁、首帧异常、穿帮</t>
  </si>
  <si>
    <r>
      <rPr>
        <sz val="10"/>
        <rFont val="Arial"/>
        <family val="0"/>
        <charset val="1"/>
      </rPr>
      <t xml:space="preserve">C </t>
    </r>
    <r>
      <rPr>
        <sz val="10"/>
        <rFont val="Noto Sans CJK SC"/>
        <family val="2"/>
      </rPr>
      <t xml:space="preserve">视觉设计</t>
    </r>
  </si>
  <si>
    <t xml:space="preserve">C1</t>
  </si>
  <si>
    <t xml:space="preserve">构图配色</t>
  </si>
  <si>
    <t xml:space="preserve">主体突出、对比度、色彩统一</t>
  </si>
  <si>
    <t xml:space="preserve">C2</t>
  </si>
  <si>
    <t xml:space="preserve">场景层次</t>
  </si>
  <si>
    <t xml:space="preserve">远中近景、环境元素</t>
  </si>
  <si>
    <t xml:space="preserve">C3</t>
  </si>
  <si>
    <t xml:space="preserve">细节完成度</t>
  </si>
  <si>
    <t xml:space="preserve">高光、阴影、小物件</t>
  </si>
  <si>
    <r>
      <rPr>
        <sz val="10"/>
        <rFont val="Arial"/>
        <family val="0"/>
        <charset val="1"/>
      </rPr>
      <t xml:space="preserve">D </t>
    </r>
    <r>
      <rPr>
        <sz val="10"/>
        <rFont val="Noto Sans CJK SC"/>
        <family val="2"/>
      </rPr>
      <t xml:space="preserve">技术</t>
    </r>
  </si>
  <si>
    <t xml:space="preserve">D1</t>
  </si>
  <si>
    <t xml:space="preserve">有效性与干净渲染</t>
  </si>
  <si>
    <r>
      <rPr>
        <sz val="10"/>
        <rFont val="Arial"/>
        <family val="0"/>
        <charset val="1"/>
      </rPr>
      <t xml:space="preserve">XML </t>
    </r>
    <r>
      <rPr>
        <sz val="10"/>
        <rFont val="Noto Sans CJK SC"/>
        <family val="2"/>
      </rPr>
      <t xml:space="preserve">合法、无报错、无外链</t>
    </r>
  </si>
  <si>
    <t xml:space="preserve">D2</t>
  </si>
  <si>
    <t xml:space="preserve">实现质量</t>
  </si>
  <si>
    <r>
      <rPr>
        <sz val="10"/>
        <rFont val="Noto Sans CJK SC"/>
        <family val="2"/>
      </rPr>
      <t xml:space="preserve">纯 </t>
    </r>
    <r>
      <rPr>
        <sz val="10"/>
        <rFont val="Arial"/>
        <family val="0"/>
        <charset val="1"/>
      </rPr>
      <t xml:space="preserve">SMIL/CSS</t>
    </r>
    <r>
      <rPr>
        <sz val="10"/>
        <rFont val="Noto Sans CJK SC"/>
        <family val="2"/>
      </rPr>
      <t xml:space="preserve">、元素复用、体积、</t>
    </r>
    <r>
      <rPr>
        <sz val="10"/>
        <rFont val="Arial"/>
        <family val="0"/>
        <charset val="1"/>
      </rPr>
      <t xml:space="preserve">title/desc</t>
    </r>
  </si>
  <si>
    <t xml:space="preserve">D3</t>
  </si>
  <si>
    <t xml:space="preserve">健壮性</t>
  </si>
  <si>
    <t xml:space="preserve">不依赖脚本、几何一致、可维护</t>
  </si>
  <si>
    <t xml:space="preserve">合计</t>
  </si>
  <si>
    <t xml:space="preserve">分值小计</t>
  </si>
  <si>
    <t xml:space="preserve">总分下限</t>
  </si>
  <si>
    <t xml:space="preserve">含义</t>
  </si>
  <si>
    <t xml:space="preserve">惊艳</t>
  </si>
  <si>
    <t xml:space="preserve">专业级，几乎无短板</t>
  </si>
  <si>
    <t xml:space="preserve">优秀</t>
  </si>
  <si>
    <t xml:space="preserve">完成度高，有少量短板</t>
  </si>
  <si>
    <t xml:space="preserve">良好</t>
  </si>
  <si>
    <t xml:space="preserve">整体可用，有明显不足</t>
  </si>
  <si>
    <t xml:space="preserve">及格</t>
  </si>
  <si>
    <t xml:space="preserve">能看出主题，缺陷较多</t>
  </si>
  <si>
    <t xml:space="preserve">有明显缺陷</t>
  </si>
  <si>
    <t xml:space="preserve">形象或动画存在严重问题</t>
  </si>
  <si>
    <t xml:space="preserve">权重模拟：调整四个维度的权重，查看排名变化</t>
  </si>
  <si>
    <r>
      <rPr>
        <i val="true"/>
        <sz val="9"/>
        <color rgb="FF595959"/>
        <rFont val="Noto Sans CJK SC"/>
        <family val="2"/>
      </rPr>
      <t xml:space="preserve">把</t>
    </r>
    <r>
      <rPr>
        <i val="true"/>
        <sz val="9"/>
        <color rgb="FF595959"/>
        <rFont val="Arial"/>
        <family val="0"/>
        <charset val="1"/>
      </rPr>
      <t xml:space="preserve">"</t>
    </r>
    <r>
      <rPr>
        <i val="true"/>
        <sz val="9"/>
        <color rgb="FF595959"/>
        <rFont val="Noto Sans CJK SC"/>
        <family val="2"/>
      </rPr>
      <t xml:space="preserve">维度得分率 </t>
    </r>
    <r>
      <rPr>
        <i val="true"/>
        <sz val="9"/>
        <color rgb="FF595959"/>
        <rFont val="Arial"/>
        <family val="0"/>
        <charset val="1"/>
      </rPr>
      <t xml:space="preserve">× </t>
    </r>
    <r>
      <rPr>
        <i val="true"/>
        <sz val="9"/>
        <color rgb="FF595959"/>
        <rFont val="Noto Sans CJK SC"/>
        <family val="2"/>
      </rPr>
      <t xml:space="preserve">新权重</t>
    </r>
    <r>
      <rPr>
        <i val="true"/>
        <sz val="9"/>
        <color rgb="FF595959"/>
        <rFont val="Arial"/>
        <family val="0"/>
        <charset val="1"/>
      </rPr>
      <t xml:space="preserve">"</t>
    </r>
    <r>
      <rPr>
        <i val="true"/>
        <sz val="9"/>
        <color rgb="FF595959"/>
        <rFont val="Noto Sans CJK SC"/>
        <family val="2"/>
      </rPr>
      <t xml:space="preserve">相加得到新总分。默认权重 </t>
    </r>
    <r>
      <rPr>
        <i val="true"/>
        <sz val="9"/>
        <color rgb="FF595959"/>
        <rFont val="Arial"/>
        <family val="0"/>
        <charset val="1"/>
      </rPr>
      <t xml:space="preserve">= </t>
    </r>
    <r>
      <rPr>
        <i val="true"/>
        <sz val="9"/>
        <color rgb="FF595959"/>
        <rFont val="Noto Sans CJK SC"/>
        <family val="2"/>
      </rPr>
      <t xml:space="preserve">评分制度（</t>
    </r>
    <r>
      <rPr>
        <i val="true"/>
        <sz val="9"/>
        <color rgb="FF595959"/>
        <rFont val="Arial"/>
        <family val="0"/>
        <charset val="1"/>
      </rPr>
      <t xml:space="preserve">30/35/20/15</t>
    </r>
    <r>
      <rPr>
        <i val="true"/>
        <sz val="9"/>
        <color rgb="FF595959"/>
        <rFont val="Noto Sans CJK SC"/>
        <family val="2"/>
      </rPr>
      <t xml:space="preserve">），此时新总分应等于原总分。权重合计需为 </t>
    </r>
    <r>
      <rPr>
        <i val="true"/>
        <sz val="9"/>
        <color rgb="FF595959"/>
        <rFont val="Arial"/>
        <family val="0"/>
        <charset val="1"/>
      </rPr>
      <t xml:space="preserve">100</t>
    </r>
    <r>
      <rPr>
        <i val="true"/>
        <sz val="9"/>
        <color rgb="FF595959"/>
        <rFont val="Noto Sans CJK SC"/>
        <family val="2"/>
      </rPr>
      <t xml:space="preserve">。</t>
    </r>
  </si>
  <si>
    <r>
      <rPr>
        <b val="true"/>
        <sz val="10"/>
        <color rgb="FFFFFFFF"/>
        <rFont val="Noto Sans CJK SC"/>
        <family val="2"/>
      </rPr>
      <t xml:space="preserve">权重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分</t>
    </r>
    <r>
      <rPr>
        <b val="true"/>
        <sz val="10"/>
        <color rgb="FFFFFFFF"/>
        <rFont val="Arial"/>
        <family val="0"/>
        <charset val="1"/>
      </rPr>
      <t xml:space="preserve">)</t>
    </r>
  </si>
  <si>
    <t xml:space="preserve">说明</t>
  </si>
  <si>
    <r>
      <rPr>
        <i val="true"/>
        <sz val="9"/>
        <color rgb="FF595959"/>
        <rFont val="Noto Sans CJK SC"/>
        <family val="2"/>
      </rPr>
      <t xml:space="preserve">例：更看重动画时，把 </t>
    </r>
    <r>
      <rPr>
        <i val="true"/>
        <sz val="9"/>
        <color rgb="FF595959"/>
        <rFont val="Arial"/>
        <family val="0"/>
        <charset val="1"/>
      </rPr>
      <t xml:space="preserve">B </t>
    </r>
    <r>
      <rPr>
        <i val="true"/>
        <sz val="9"/>
        <color rgb="FF595959"/>
        <rFont val="Noto Sans CJK SC"/>
        <family val="2"/>
      </rPr>
      <t xml:space="preserve">调到 </t>
    </r>
    <r>
      <rPr>
        <i val="true"/>
        <sz val="9"/>
        <color rgb="FF595959"/>
        <rFont val="Arial"/>
        <family val="0"/>
        <charset val="1"/>
      </rPr>
      <t xml:space="preserve">45</t>
    </r>
    <r>
      <rPr>
        <i val="true"/>
        <sz val="9"/>
        <color rgb="FF595959"/>
        <rFont val="Noto Sans CJK SC"/>
        <family val="2"/>
      </rPr>
      <t xml:space="preserve">、其余相应下调</t>
    </r>
  </si>
  <si>
    <t xml:space="preserve">原排名</t>
  </si>
  <si>
    <t xml:space="preserve">原总分</t>
  </si>
  <si>
    <t xml:space="preserve">新总分</t>
  </si>
  <si>
    <t xml:space="preserve">新排名</t>
  </si>
  <si>
    <r>
      <rPr>
        <b val="true"/>
        <sz val="10"/>
        <color rgb="FFFFFFFF"/>
        <rFont val="Noto Sans CJK SC"/>
        <family val="2"/>
      </rPr>
      <t xml:space="preserve">名次变化</t>
    </r>
    <r>
      <rPr>
        <b val="true"/>
        <sz val="10"/>
        <color rgb="FFFFFFFF"/>
        <rFont val="Arial"/>
        <family val="0"/>
        <charset val="1"/>
      </rPr>
      <t xml:space="preserve">(+</t>
    </r>
    <r>
      <rPr>
        <b val="true"/>
        <sz val="10"/>
        <color rgb="FFFFFFFF"/>
        <rFont val="Noto Sans CJK SC"/>
        <family val="2"/>
      </rPr>
      <t xml:space="preserve">上升</t>
    </r>
    <r>
      <rPr>
        <b val="true"/>
        <sz val="10"/>
        <color rgb="FFFFFFFF"/>
        <rFont val="Arial"/>
        <family val="0"/>
        <charset val="1"/>
      </rPr>
      <t xml:space="preserve">)</t>
    </r>
  </si>
  <si>
    <t xml:space="preserve">自检证据：评分与客观测量的对照</t>
  </si>
  <si>
    <r>
      <rPr>
        <i val="true"/>
        <sz val="9"/>
        <color rgb="FF595959"/>
        <rFont val="Noto Sans CJK SC"/>
        <family val="2"/>
      </rPr>
      <t xml:space="preserve">测量方法：在无头 </t>
    </r>
    <r>
      <rPr>
        <i val="true"/>
        <sz val="9"/>
        <color rgb="FF595959"/>
        <rFont val="Arial"/>
        <family val="0"/>
        <charset val="1"/>
      </rPr>
      <t xml:space="preserve">Chromium </t>
    </r>
    <r>
      <rPr>
        <i val="true"/>
        <sz val="9"/>
        <color rgb="FF595959"/>
        <rFont val="Noto Sans CJK SC"/>
        <family val="2"/>
      </rPr>
      <t xml:space="preserve">中按时间轴渲染每个 </t>
    </r>
    <r>
      <rPr>
        <i val="true"/>
        <sz val="9"/>
        <color rgb="FF595959"/>
        <rFont val="Arial"/>
        <family val="0"/>
        <charset val="1"/>
      </rPr>
      <t xml:space="preserve">SVG </t>
    </r>
    <r>
      <rPr>
        <i val="true"/>
        <sz val="9"/>
        <color rgb="FF595959"/>
        <rFont val="Noto Sans CJK SC"/>
        <family val="2"/>
      </rPr>
      <t xml:space="preserve">的 </t>
    </r>
    <r>
      <rPr>
        <i val="true"/>
        <sz val="9"/>
        <color rgb="FF595959"/>
        <rFont val="Arial"/>
        <family val="0"/>
        <charset val="1"/>
      </rPr>
      <t xml:space="preserve">12 </t>
    </r>
    <r>
      <rPr>
        <i val="true"/>
        <sz val="9"/>
        <color rgb="FF595959"/>
        <rFont val="Noto Sans CJK SC"/>
        <family val="2"/>
      </rPr>
      <t xml:space="preserve">帧（</t>
    </r>
    <r>
      <rPr>
        <i val="true"/>
        <sz val="9"/>
        <color rgb="FF595959"/>
        <rFont val="Arial"/>
        <family val="0"/>
        <charset val="1"/>
      </rPr>
      <t xml:space="preserve">t=0~2s</t>
    </r>
    <r>
      <rPr>
        <i val="true"/>
        <sz val="9"/>
        <color rgb="FF595959"/>
        <rFont val="Noto Sans CJK SC"/>
        <family val="2"/>
      </rPr>
      <t xml:space="preserve">，</t>
    </r>
    <r>
      <rPr>
        <i val="true"/>
        <sz val="9"/>
        <color rgb="FF595959"/>
        <rFont val="Arial"/>
        <family val="0"/>
        <charset val="1"/>
      </rPr>
      <t xml:space="preserve">Δt≈0.12s</t>
    </r>
    <r>
      <rPr>
        <i val="true"/>
        <sz val="9"/>
        <color rgb="FF595959"/>
        <rFont val="Noto Sans CJK SC"/>
        <family val="2"/>
      </rPr>
      <t xml:space="preserve">）；</t>
    </r>
    <r>
      <rPr>
        <i val="true"/>
        <sz val="9"/>
        <color rgb="FF595959"/>
        <rFont val="Arial"/>
        <family val="0"/>
        <charset val="1"/>
      </rPr>
      <t xml:space="preserve">"</t>
    </r>
    <r>
      <rPr>
        <i val="true"/>
        <sz val="9"/>
        <color rgb="FF595959"/>
        <rFont val="Noto Sans CJK SC"/>
        <family val="2"/>
      </rPr>
      <t xml:space="preserve">中心区帧间差异</t>
    </r>
    <r>
      <rPr>
        <i val="true"/>
        <sz val="9"/>
        <color rgb="FF595959"/>
        <rFont val="Arial"/>
        <family val="0"/>
        <charset val="1"/>
      </rPr>
      <t xml:space="preserve">"=</t>
    </r>
    <r>
      <rPr>
        <i val="true"/>
        <sz val="9"/>
        <color rgb="FF595959"/>
        <rFont val="Noto Sans CJK SC"/>
        <family val="2"/>
      </rPr>
      <t xml:space="preserve">相邻帧像素绝对差的均值，取画面 </t>
    </r>
    <r>
      <rPr>
        <i val="true"/>
        <sz val="9"/>
        <color rgb="FF595959"/>
        <rFont val="Arial"/>
        <family val="0"/>
        <charset val="1"/>
      </rPr>
      <t xml:space="preserve">20%~80% </t>
    </r>
    <r>
      <rPr>
        <i val="true"/>
        <sz val="9"/>
        <color rgb="FF595959"/>
        <rFont val="Noto Sans CJK SC"/>
        <family val="2"/>
      </rPr>
      <t xml:space="preserve">宽、</t>
    </r>
    <r>
      <rPr>
        <i val="true"/>
        <sz val="9"/>
        <color rgb="FF595959"/>
        <rFont val="Arial"/>
        <family val="0"/>
        <charset val="1"/>
      </rPr>
      <t xml:space="preserve">20%~85% </t>
    </r>
    <r>
      <rPr>
        <i val="true"/>
        <sz val="9"/>
        <color rgb="FF595959"/>
        <rFont val="Noto Sans CJK SC"/>
        <family val="2"/>
      </rPr>
      <t xml:space="preserve">高的区域，前 </t>
    </r>
    <r>
      <rPr>
        <i val="true"/>
        <sz val="9"/>
        <color rgb="FF595959"/>
        <rFont val="Arial"/>
        <family val="0"/>
        <charset val="1"/>
      </rPr>
      <t xml:space="preserve">8 </t>
    </r>
    <r>
      <rPr>
        <i val="true"/>
        <sz val="9"/>
        <color rgb="FF595959"/>
        <rFont val="Noto Sans CJK SC"/>
        <family val="2"/>
      </rPr>
      <t xml:space="preserve">对帧平均；体积为文件字节数。蓝色为测量值（硬编码），黑色为公式。</t>
    </r>
  </si>
  <si>
    <r>
      <rPr>
        <b val="true"/>
        <sz val="10"/>
        <color rgb="FFFFFFFF"/>
        <rFont val="Noto Sans CJK SC"/>
        <family val="2"/>
      </rPr>
      <t xml:space="preserve">体积</t>
    </r>
    <r>
      <rPr>
        <b val="true"/>
        <sz val="10"/>
        <color rgb="FFFFFFFF"/>
        <rFont val="Arial"/>
        <family val="0"/>
        <charset val="1"/>
      </rPr>
      <t xml:space="preserve">(bytes)</t>
    </r>
  </si>
  <si>
    <t xml:space="preserve">中心区帧间差异</t>
  </si>
  <si>
    <r>
      <rPr>
        <b val="true"/>
        <sz val="10"/>
        <color rgb="FFFFFFFF"/>
        <rFont val="Noto Sans CJK SC"/>
        <family val="2"/>
      </rPr>
      <t xml:space="preserve">动画分</t>
    </r>
    <r>
      <rPr>
        <b val="true"/>
        <sz val="10"/>
        <color rgb="FFFFFFFF"/>
        <rFont val="Arial"/>
        <family val="0"/>
        <charset val="1"/>
      </rPr>
      <t xml:space="preserve">(B1~B3)</t>
    </r>
  </si>
  <si>
    <r>
      <rPr>
        <b val="true"/>
        <sz val="10"/>
        <color rgb="FFFFFFFF"/>
        <rFont val="Noto Sans CJK SC"/>
        <family val="2"/>
      </rPr>
      <t xml:space="preserve">秩</t>
    </r>
    <r>
      <rPr>
        <b val="true"/>
        <sz val="10"/>
        <color rgb="FFFFFFFF"/>
        <rFont val="Arial"/>
        <family val="0"/>
        <charset val="1"/>
      </rPr>
      <t xml:space="preserve">:</t>
    </r>
    <r>
      <rPr>
        <b val="true"/>
        <sz val="10"/>
        <color rgb="FFFFFFFF"/>
        <rFont val="Noto Sans CJK SC"/>
        <family val="2"/>
      </rPr>
      <t xml:space="preserve">动画分</t>
    </r>
  </si>
  <si>
    <r>
      <rPr>
        <b val="true"/>
        <sz val="10"/>
        <color rgb="FFFFFFFF"/>
        <rFont val="Noto Sans CJK SC"/>
        <family val="2"/>
      </rPr>
      <t xml:space="preserve">秩</t>
    </r>
    <r>
      <rPr>
        <b val="true"/>
        <sz val="10"/>
        <color rgb="FFFFFFFF"/>
        <rFont val="Arial"/>
        <family val="0"/>
        <charset val="1"/>
      </rPr>
      <t xml:space="preserve">:</t>
    </r>
    <r>
      <rPr>
        <b val="true"/>
        <sz val="10"/>
        <color rgb="FFFFFFFF"/>
        <rFont val="Noto Sans CJK SC"/>
        <family val="2"/>
      </rPr>
      <t xml:space="preserve">帧间差异</t>
    </r>
  </si>
  <si>
    <r>
      <rPr>
        <b val="true"/>
        <sz val="10"/>
        <color rgb="FFFFFFFF"/>
        <rFont val="Noto Sans CJK SC"/>
        <family val="2"/>
      </rPr>
      <t xml:space="preserve">秩</t>
    </r>
    <r>
      <rPr>
        <b val="true"/>
        <sz val="10"/>
        <color rgb="FFFFFFFF"/>
        <rFont val="Arial"/>
        <family val="0"/>
        <charset val="1"/>
      </rPr>
      <t xml:space="preserve">:</t>
    </r>
    <r>
      <rPr>
        <b val="true"/>
        <sz val="10"/>
        <color rgb="FFFFFFFF"/>
        <rFont val="Noto Sans CJK SC"/>
        <family val="2"/>
      </rPr>
      <t xml:space="preserve">总分</t>
    </r>
  </si>
  <si>
    <r>
      <rPr>
        <b val="true"/>
        <sz val="10"/>
        <color rgb="FFFFFFFF"/>
        <rFont val="Noto Sans CJK SC"/>
        <family val="2"/>
      </rPr>
      <t xml:space="preserve">秩</t>
    </r>
    <r>
      <rPr>
        <b val="true"/>
        <sz val="10"/>
        <color rgb="FFFFFFFF"/>
        <rFont val="Arial"/>
        <family val="0"/>
        <charset val="1"/>
      </rPr>
      <t xml:space="preserve">:</t>
    </r>
    <r>
      <rPr>
        <b val="true"/>
        <sz val="10"/>
        <color rgb="FFFFFFFF"/>
        <rFont val="Noto Sans CJK SC"/>
        <family val="2"/>
      </rPr>
      <t xml:space="preserve">体积</t>
    </r>
  </si>
  <si>
    <r>
      <rPr>
        <b val="true"/>
        <sz val="10"/>
        <rFont val="Noto Sans CJK SC"/>
        <family val="2"/>
      </rPr>
      <t xml:space="preserve">等级相关（</t>
    </r>
    <r>
      <rPr>
        <b val="true"/>
        <sz val="10"/>
        <rFont val="Arial"/>
        <family val="0"/>
        <charset val="1"/>
      </rPr>
      <t xml:space="preserve">Spearman</t>
    </r>
    <r>
      <rPr>
        <b val="true"/>
        <sz val="10"/>
        <rFont val="Noto Sans CJK SC"/>
        <family val="2"/>
      </rPr>
      <t xml:space="preserve">，并列取平均秩）</t>
    </r>
  </si>
  <si>
    <r>
      <rPr>
        <sz val="11"/>
        <color theme="1"/>
        <rFont val="Noto Sans CJK SC"/>
        <family val="2"/>
      </rPr>
      <t xml:space="preserve">动画分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中心区帧间差异</t>
    </r>
  </si>
  <si>
    <r>
      <rPr>
        <i val="true"/>
        <sz val="9"/>
        <color rgb="FF595959"/>
        <rFont val="Noto Sans CJK SC"/>
        <family val="2"/>
      </rPr>
      <t xml:space="preserve">越接近 </t>
    </r>
    <r>
      <rPr>
        <i val="true"/>
        <sz val="9"/>
        <color rgb="FF595959"/>
        <rFont val="Arial"/>
        <family val="0"/>
        <charset val="1"/>
      </rPr>
      <t xml:space="preserve">1</t>
    </r>
    <r>
      <rPr>
        <i val="true"/>
        <sz val="9"/>
        <color rgb="FF595959"/>
        <rFont val="Noto Sans CJK SC"/>
        <family val="2"/>
      </rPr>
      <t xml:space="preserve">，说明动画评分与实测动作量越一致</t>
    </r>
  </si>
  <si>
    <r>
      <rPr>
        <sz val="11"/>
        <color theme="1"/>
        <rFont val="Noto Sans CJK SC"/>
        <family val="2"/>
      </rPr>
      <t xml:space="preserve">总分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文件体积</t>
    </r>
  </si>
  <si>
    <r>
      <rPr>
        <i val="true"/>
        <sz val="9"/>
        <color rgb="FF595959"/>
        <rFont val="Noto Sans CJK SC"/>
        <family val="2"/>
      </rPr>
      <t xml:space="preserve">偏高说明有</t>
    </r>
    <r>
      <rPr>
        <i val="true"/>
        <sz val="9"/>
        <color rgb="FF595959"/>
        <rFont val="Arial"/>
        <family val="0"/>
        <charset val="1"/>
      </rPr>
      <t xml:space="preserve">"</t>
    </r>
    <r>
      <rPr>
        <i val="true"/>
        <sz val="9"/>
        <color rgb="FF595959"/>
        <rFont val="Noto Sans CJK SC"/>
        <family val="2"/>
      </rPr>
      <t xml:space="preserve">体积越大分越高</t>
    </r>
    <r>
      <rPr>
        <i val="true"/>
        <sz val="9"/>
        <color rgb="FF595959"/>
        <rFont val="Arial"/>
        <family val="0"/>
        <charset val="1"/>
      </rPr>
      <t xml:space="preserve">"</t>
    </r>
    <r>
      <rPr>
        <i val="true"/>
        <sz val="9"/>
        <color rgb="FF595959"/>
        <rFont val="Noto Sans CJK SC"/>
        <family val="2"/>
      </rPr>
      <t xml:space="preserve">的倾向，需结合小文件高分的例子判断</t>
    </r>
  </si>
  <si>
    <r>
      <rPr>
        <i val="true"/>
        <sz val="9"/>
        <color rgb="FF595959"/>
        <rFont val="Noto Sans CJK SC"/>
        <family val="2"/>
      </rPr>
      <t xml:space="preserve">注：对话回答中的 </t>
    </r>
    <r>
      <rPr>
        <i val="true"/>
        <sz val="9"/>
        <color rgb="FF595959"/>
        <rFont val="Arial"/>
        <family val="0"/>
        <charset val="1"/>
      </rPr>
      <t xml:space="preserve">0.81 / 0.76 </t>
    </r>
    <r>
      <rPr>
        <i val="true"/>
        <sz val="9"/>
        <color rgb="FF595959"/>
        <rFont val="Noto Sans CJK SC"/>
        <family val="2"/>
      </rPr>
      <t xml:space="preserve">按并列顺序编号计算，本表用并列取平均秩，数值可能略有差异。</t>
    </r>
  </si>
  <si>
    <r>
      <rPr>
        <b val="true"/>
        <sz val="10"/>
        <rFont val="Noto Sans CJK SC"/>
        <family val="2"/>
      </rPr>
      <t xml:space="preserve">自评敏感性（</t>
    </r>
    <r>
      <rPr>
        <b val="true"/>
        <sz val="10"/>
        <rFont val="Arial"/>
        <family val="0"/>
        <charset val="1"/>
      </rPr>
      <t xml:space="preserve">Sonnet5_5_Extra_1</t>
    </r>
    <r>
      <rPr>
        <b val="true"/>
        <sz val="10"/>
        <rFont val="Noto Sans CJK SC"/>
        <family val="2"/>
      </rPr>
      <t xml:space="preserve">）</t>
    </r>
  </si>
  <si>
    <t xml:space="preserve">首轮自评总分</t>
  </si>
  <si>
    <r>
      <rPr>
        <i val="true"/>
        <sz val="9"/>
        <color rgb="FF595959"/>
        <rFont val="Noto Sans CJK SC"/>
        <family val="2"/>
      </rPr>
      <t xml:space="preserve">首轮打分（复核前）；复核扣 </t>
    </r>
    <r>
      <rPr>
        <i val="true"/>
        <sz val="9"/>
        <color rgb="FF595959"/>
        <rFont val="Arial"/>
        <family val="0"/>
        <charset val="1"/>
      </rPr>
      <t xml:space="preserve">2 </t>
    </r>
    <r>
      <rPr>
        <i val="true"/>
        <sz val="9"/>
        <color rgb="FF595959"/>
        <rFont val="Noto Sans CJK SC"/>
        <family val="2"/>
      </rPr>
      <t xml:space="preserve">分：人车融合 </t>
    </r>
    <r>
      <rPr>
        <i val="true"/>
        <sz val="9"/>
        <color rgb="FF595959"/>
        <rFont val="Arial"/>
        <family val="0"/>
        <charset val="1"/>
      </rPr>
      <t xml:space="preserve">8→7</t>
    </r>
    <r>
      <rPr>
        <i val="true"/>
        <sz val="9"/>
        <color rgb="FF595959"/>
        <rFont val="Noto Sans CJK SC"/>
        <family val="2"/>
      </rPr>
      <t xml:space="preserve">，健壮性 </t>
    </r>
    <r>
      <rPr>
        <i val="true"/>
        <sz val="9"/>
        <color rgb="FF595959"/>
        <rFont val="Arial"/>
        <family val="0"/>
        <charset val="1"/>
      </rPr>
      <t xml:space="preserve">5→4</t>
    </r>
  </si>
  <si>
    <t xml:space="preserve">复核后总分</t>
  </si>
  <si>
    <t xml:space="preserve">再扣分（可调）</t>
  </si>
  <si>
    <t xml:space="preserve">假设自评仍偏高，模拟再扣多少分</t>
  </si>
  <si>
    <t xml:space="preserve">扣后总分</t>
  </si>
  <si>
    <t xml:space="preserve">扣后名次</t>
  </si>
  <si>
    <r>
      <rPr>
        <i val="true"/>
        <sz val="9"/>
        <color rgb="FF595959"/>
        <rFont val="Noto Sans CJK SC"/>
        <family val="2"/>
      </rPr>
      <t xml:space="preserve">其余 </t>
    </r>
    <r>
      <rPr>
        <i val="true"/>
        <sz val="9"/>
        <color rgb="FF595959"/>
        <rFont val="Arial"/>
        <family val="0"/>
        <charset val="1"/>
      </rPr>
      <t xml:space="preserve">14 </t>
    </r>
    <r>
      <rPr>
        <i val="true"/>
        <sz val="9"/>
        <color rgb="FF595959"/>
        <rFont val="Noto Sans CJK SC"/>
        <family val="2"/>
      </rPr>
      <t xml:space="preserve">个文件分数不变时的名次</t>
    </r>
  </si>
  <si>
    <t xml:space="preserve">自检记录与局限</t>
  </si>
  <si>
    <t xml:space="preserve">利益冲突</t>
  </si>
  <si>
    <r>
      <rPr>
        <sz val="10"/>
        <rFont val="Arial"/>
        <family val="0"/>
        <charset val="1"/>
      </rPr>
      <t xml:space="preserve">Sonnet5_5_Extra_1.svg </t>
    </r>
    <r>
      <rPr>
        <sz val="10"/>
        <rFont val="Noto Sans CJK SC"/>
        <family val="2"/>
      </rPr>
      <t xml:space="preserve">与本对话中 </t>
    </r>
    <r>
      <rPr>
        <sz val="10"/>
        <rFont val="Arial"/>
        <family val="0"/>
        <charset val="1"/>
      </rPr>
      <t xml:space="preserve">Claude </t>
    </r>
    <r>
      <rPr>
        <sz val="10"/>
        <rFont val="Noto Sans CJK SC"/>
        <family val="2"/>
      </rPr>
      <t xml:space="preserve">生成的 </t>
    </r>
    <r>
      <rPr>
        <sz val="10"/>
        <rFont val="Arial"/>
        <family val="0"/>
        <charset val="1"/>
      </rPr>
      <t xml:space="preserve">"Sonnet5,5 Extra.svg" </t>
    </r>
    <r>
      <rPr>
        <sz val="10"/>
        <rFont val="Noto Sans CJK SC"/>
        <family val="2"/>
      </rPr>
      <t xml:space="preserve">逐字节相同（</t>
    </r>
    <r>
      <rPr>
        <sz val="10"/>
        <rFont val="Arial"/>
        <family val="0"/>
        <charset val="1"/>
      </rPr>
      <t xml:space="preserve">34,554 </t>
    </r>
    <r>
      <rPr>
        <sz val="10"/>
        <rFont val="Noto Sans CJK SC"/>
        <family val="2"/>
      </rPr>
      <t xml:space="preserve">字节），已用同一标准评分并在复核时下调。</t>
    </r>
  </si>
  <si>
    <t xml:space="preserve">梯队判断</t>
  </si>
  <si>
    <r>
      <rPr>
        <sz val="10"/>
        <rFont val="Noto Sans CJK SC"/>
        <family val="2"/>
      </rPr>
      <t xml:space="preserve">前 </t>
    </r>
    <r>
      <rPr>
        <sz val="10"/>
        <rFont val="Arial"/>
        <family val="0"/>
        <charset val="1"/>
      </rPr>
      <t xml:space="preserve">6 </t>
    </r>
    <r>
      <rPr>
        <sz val="10"/>
        <rFont val="Noto Sans CJK SC"/>
        <family val="2"/>
      </rPr>
      <t xml:space="preserve">名分差仅 </t>
    </r>
    <r>
      <rPr>
        <sz val="10"/>
        <rFont val="Arial"/>
        <family val="0"/>
        <charset val="1"/>
      </rPr>
      <t xml:space="preserve">2 </t>
    </r>
    <r>
      <rPr>
        <sz val="10"/>
        <rFont val="Noto Sans CJK SC"/>
        <family val="2"/>
      </rPr>
      <t xml:space="preserve">分，应视为并列梯队，不宜过度解读名次；无文件达到 </t>
    </r>
    <r>
      <rPr>
        <sz val="10"/>
        <rFont val="Arial"/>
        <family val="0"/>
        <charset val="1"/>
      </rPr>
      <t xml:space="preserve">90 </t>
    </r>
    <r>
      <rPr>
        <sz val="10"/>
        <rFont val="Noto Sans CJK SC"/>
        <family val="2"/>
      </rPr>
      <t xml:space="preserve">分，因为每个作品都有明显短板。</t>
    </r>
  </si>
  <si>
    <t xml:space="preserve">主观误差</t>
  </si>
  <si>
    <r>
      <rPr>
        <sz val="10"/>
        <rFont val="Noto Sans CJK SC"/>
        <family val="2"/>
      </rPr>
      <t xml:space="preserve">评分有约 </t>
    </r>
    <r>
      <rPr>
        <sz val="10"/>
        <rFont val="Arial"/>
        <family val="0"/>
        <charset val="1"/>
      </rPr>
      <t xml:space="preserve">±3 </t>
    </r>
    <r>
      <rPr>
        <sz val="10"/>
        <rFont val="Noto Sans CJK SC"/>
        <family val="2"/>
      </rPr>
      <t xml:space="preserve">分的主观误差，</t>
    </r>
    <r>
      <rPr>
        <sz val="10"/>
        <rFont val="Arial"/>
        <family val="0"/>
        <charset val="1"/>
      </rPr>
      <t xml:space="preserve">A </t>
    </r>
    <r>
      <rPr>
        <sz val="10"/>
        <rFont val="Noto Sans CJK SC"/>
        <family val="2"/>
      </rPr>
      <t xml:space="preserve">类形象项最易受个人审美影响。</t>
    </r>
  </si>
  <si>
    <t xml:space="preserve">未测内容</t>
  </si>
  <si>
    <r>
      <rPr>
        <sz val="10"/>
        <rFont val="Noto Sans CJK SC"/>
        <family val="2"/>
      </rPr>
      <t xml:space="preserve">仅看了 </t>
    </r>
    <r>
      <rPr>
        <sz val="10"/>
        <rFont val="Arial"/>
        <family val="0"/>
        <charset val="1"/>
      </rPr>
      <t xml:space="preserve">0~2 </t>
    </r>
    <r>
      <rPr>
        <sz val="10"/>
        <rFont val="Noto Sans CJK SC"/>
        <family val="2"/>
      </rPr>
      <t xml:space="preserve">秒的 </t>
    </r>
    <r>
      <rPr>
        <sz val="10"/>
        <rFont val="Arial"/>
        <family val="0"/>
        <charset val="1"/>
      </rPr>
      <t xml:space="preserve">12 </t>
    </r>
    <r>
      <rPr>
        <sz val="10"/>
        <rFont val="Noto Sans CJK SC"/>
        <family val="2"/>
      </rPr>
      <t xml:space="preserve">帧；未测 </t>
    </r>
    <r>
      <rPr>
        <sz val="10"/>
        <rFont val="Arial"/>
        <family val="0"/>
        <charset val="1"/>
      </rPr>
      <t xml:space="preserve">30 </t>
    </r>
    <r>
      <rPr>
        <sz val="10"/>
        <rFont val="Noto Sans CJK SC"/>
        <family val="2"/>
      </rPr>
      <t xml:space="preserve">秒以上背景长周期循环的接缝、</t>
    </r>
    <r>
      <rPr>
        <sz val="10"/>
        <rFont val="Arial"/>
        <family val="0"/>
        <charset val="1"/>
      </rPr>
      <t xml:space="preserve">Safari/</t>
    </r>
    <r>
      <rPr>
        <sz val="10"/>
        <rFont val="Noto Sans CJK SC"/>
        <family val="2"/>
      </rPr>
      <t xml:space="preserve">移动端兼容性、真机帧率。</t>
    </r>
  </si>
  <si>
    <t xml:space="preserve">建议</t>
  </si>
  <si>
    <r>
      <rPr>
        <sz val="10"/>
        <rFont val="Noto Sans CJK SC"/>
        <family val="2"/>
      </rPr>
      <t xml:space="preserve">人工抽 </t>
    </r>
    <r>
      <rPr>
        <sz val="10"/>
        <rFont val="Arial"/>
        <family val="0"/>
        <charset val="1"/>
      </rPr>
      <t xml:space="preserve">3 </t>
    </r>
    <r>
      <rPr>
        <sz val="10"/>
        <rFont val="Noto Sans CJK SC"/>
        <family val="2"/>
      </rPr>
      <t xml:space="preserve">个文件打分与本表对照校准；若更看重动画，可在</t>
    </r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权重模拟</t>
    </r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表调高 </t>
    </r>
    <r>
      <rPr>
        <sz val="10"/>
        <rFont val="Arial"/>
        <family val="0"/>
        <charset val="1"/>
      </rPr>
      <t xml:space="preserve">B </t>
    </r>
    <r>
      <rPr>
        <sz val="10"/>
        <rFont val="Noto Sans CJK SC"/>
        <family val="2"/>
      </rPr>
      <t xml:space="preserve">的权重。</t>
    </r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</si>
</sst>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General"/>
    <numFmt numFmtId="166" formatCode="0.0"/>
    <numFmt numFmtId="167" formatCode="#,##0"/>
    <numFmt numFmtId="168" formatCode="0.00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Noto Sans CJK SC"/>
      <family val="2"/>
    </font>
    <font>
      <b val="true"/>
      <sz val="14"/>
      <name val="Arial"/>
      <family val="0"/>
      <charset val="1"/>
    </font>
    <font>
      <i val="true"/>
      <sz val="9"/>
      <color rgb="FF595959"/>
      <name val="Noto Sans CJK SC"/>
      <family val="2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FFFFFF"/>
      <name val="Noto Sans CJK SC"/>
      <family val="2"/>
    </font>
    <font>
      <b val="true"/>
      <sz val="10"/>
      <name val="Arial"/>
      <family val="0"/>
      <charset val="1"/>
    </font>
    <font>
      <b val="true"/>
      <sz val="10"/>
      <name val="Noto Sans CJK SC"/>
      <family val="2"/>
    </font>
    <font>
      <b val="true"/>
      <sz val="10"/>
      <color rgb="FF008000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name val="Noto Sans CJK SC"/>
      <family val="2"/>
    </font>
    <font>
      <sz val="10"/>
      <color rgb="FF008000"/>
      <name val="Arial"/>
      <family val="0"/>
      <charset val="1"/>
    </font>
    <font>
      <sz val="11"/>
      <color theme="1"/>
      <name val="Noto Sans CJK SC"/>
      <family val="2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2F3"/>
        <bgColor rgb="FFCCFFFF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2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3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1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16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13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9"/>
    <col collapsed="false" customWidth="true" hidden="false" outlineLevel="0" max="19" min="3" style="0" width="9.51"/>
    <col collapsed="false" customWidth="true" hidden="false" outlineLevel="0" max="20" min="20" style="0" width="8"/>
    <col collapsed="false" customWidth="true" hidden="false" outlineLevel="0" max="21" min="21" style="0" width="12"/>
    <col collapsed="false" customWidth="true" hidden="false" outlineLevel="0" max="22" min="22" style="0" width="70"/>
  </cols>
  <sheetData>
    <row r="1" customFormat="false" ht="21.6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9.5" hidden="false" customHeight="true" outlineLevel="0" collapsed="false">
      <c r="C3" s="3" t="s">
        <v>2</v>
      </c>
      <c r="D3" s="3"/>
      <c r="E3" s="3"/>
      <c r="F3" s="3" t="s">
        <v>3</v>
      </c>
      <c r="G3" s="3"/>
      <c r="H3" s="3"/>
      <c r="I3" s="3"/>
      <c r="J3" s="3" t="s">
        <v>4</v>
      </c>
      <c r="K3" s="3"/>
      <c r="L3" s="3"/>
      <c r="M3" s="3" t="s">
        <v>5</v>
      </c>
      <c r="N3" s="3"/>
      <c r="O3" s="3"/>
      <c r="P3" s="4" t="s">
        <v>6</v>
      </c>
      <c r="Q3" s="4"/>
      <c r="R3" s="4"/>
      <c r="S3" s="4"/>
    </row>
    <row r="4" customFormat="false" ht="54" hidden="false" customHeight="true" outlineLevel="0" collapsed="false">
      <c r="A4" s="4" t="s">
        <v>7</v>
      </c>
      <c r="B4" s="4" t="s">
        <v>8</v>
      </c>
      <c r="C4" s="3" t="s">
        <v>9</v>
      </c>
      <c r="D4" s="3" t="s">
        <v>10</v>
      </c>
      <c r="E4" s="3" t="s">
        <v>11</v>
      </c>
      <c r="F4" s="3" t="s">
        <v>12</v>
      </c>
      <c r="G4" s="3" t="s">
        <v>13</v>
      </c>
      <c r="H4" s="3" t="s">
        <v>14</v>
      </c>
      <c r="I4" s="3" t="s">
        <v>15</v>
      </c>
      <c r="J4" s="3" t="s">
        <v>16</v>
      </c>
      <c r="K4" s="3" t="s">
        <v>17</v>
      </c>
      <c r="L4" s="3" t="s">
        <v>18</v>
      </c>
      <c r="M4" s="3" t="s">
        <v>19</v>
      </c>
      <c r="N4" s="3" t="s">
        <v>20</v>
      </c>
      <c r="O4" s="3" t="s">
        <v>21</v>
      </c>
      <c r="P4" s="3" t="s">
        <v>22</v>
      </c>
      <c r="Q4" s="3" t="s">
        <v>3</v>
      </c>
      <c r="R4" s="3" t="s">
        <v>23</v>
      </c>
      <c r="S4" s="3" t="s">
        <v>5</v>
      </c>
      <c r="T4" s="4" t="s">
        <v>24</v>
      </c>
      <c r="U4" s="4" t="s">
        <v>25</v>
      </c>
      <c r="V4" s="4" t="s">
        <v>26</v>
      </c>
    </row>
    <row r="5" customFormat="false" ht="15" hidden="false" customHeight="false" outlineLevel="0" collapsed="false">
      <c r="A5" s="5"/>
      <c r="B5" s="6" t="s">
        <v>27</v>
      </c>
      <c r="C5" s="7" t="n">
        <f aca="false">评分制度!D4</f>
        <v>12</v>
      </c>
      <c r="D5" s="7" t="n">
        <f aca="false">评分制度!D5</f>
        <v>8</v>
      </c>
      <c r="E5" s="7" t="n">
        <f aca="false">评分制度!D6</f>
        <v>10</v>
      </c>
      <c r="F5" s="7" t="n">
        <f aca="false">评分制度!D7</f>
        <v>15</v>
      </c>
      <c r="G5" s="7" t="n">
        <f aca="false">评分制度!D8</f>
        <v>8</v>
      </c>
      <c r="H5" s="7" t="n">
        <f aca="false">评分制度!D9</f>
        <v>7</v>
      </c>
      <c r="I5" s="7" t="n">
        <f aca="false">评分制度!D10</f>
        <v>5</v>
      </c>
      <c r="J5" s="7" t="n">
        <f aca="false">评分制度!D11</f>
        <v>8</v>
      </c>
      <c r="K5" s="7" t="n">
        <f aca="false">评分制度!D12</f>
        <v>7</v>
      </c>
      <c r="L5" s="7" t="n">
        <f aca="false">评分制度!D13</f>
        <v>5</v>
      </c>
      <c r="M5" s="7" t="n">
        <f aca="false">评分制度!D14</f>
        <v>5</v>
      </c>
      <c r="N5" s="7" t="n">
        <f aca="false">评分制度!D15</f>
        <v>5</v>
      </c>
      <c r="O5" s="7" t="n">
        <f aca="false">评分制度!D16</f>
        <v>5</v>
      </c>
      <c r="P5" s="5" t="n">
        <f aca="false">SUM(C5:E5)</f>
        <v>30</v>
      </c>
      <c r="Q5" s="5" t="n">
        <f aca="false">SUM(F5:I5)</f>
        <v>35</v>
      </c>
      <c r="R5" s="5" t="n">
        <f aca="false">SUM(J5:L5)</f>
        <v>20</v>
      </c>
      <c r="S5" s="5" t="n">
        <f aca="false">SUM(M5:O5)</f>
        <v>15</v>
      </c>
      <c r="T5" s="5" t="n">
        <f aca="false">SUM(P5:S5)</f>
        <v>100</v>
      </c>
      <c r="U5" s="5"/>
      <c r="V5" s="5"/>
    </row>
    <row r="6" customFormat="false" ht="30" hidden="false" customHeight="true" outlineLevel="0" collapsed="false">
      <c r="A6" s="8" t="n">
        <f aca="false">RANK(T6,$T$6:$T$20,0)</f>
        <v>1</v>
      </c>
      <c r="B6" s="9" t="s">
        <v>28</v>
      </c>
      <c r="C6" s="10" t="n">
        <v>11</v>
      </c>
      <c r="D6" s="10" t="n">
        <v>7</v>
      </c>
      <c r="E6" s="10" t="n">
        <v>8</v>
      </c>
      <c r="F6" s="10" t="n">
        <v>14</v>
      </c>
      <c r="G6" s="10" t="n">
        <v>7</v>
      </c>
      <c r="H6" s="10" t="n">
        <v>6</v>
      </c>
      <c r="I6" s="10" t="n">
        <v>4</v>
      </c>
      <c r="J6" s="10" t="n">
        <v>7</v>
      </c>
      <c r="K6" s="10" t="n">
        <v>6</v>
      </c>
      <c r="L6" s="10" t="n">
        <v>5</v>
      </c>
      <c r="M6" s="10" t="n">
        <v>5</v>
      </c>
      <c r="N6" s="10" t="n">
        <v>4</v>
      </c>
      <c r="O6" s="10" t="n">
        <v>4</v>
      </c>
      <c r="P6" s="8" t="n">
        <f aca="false">SUM(C6:E6)</f>
        <v>26</v>
      </c>
      <c r="Q6" s="8" t="n">
        <f aca="false">SUM(F6:I6)</f>
        <v>31</v>
      </c>
      <c r="R6" s="8" t="n">
        <f aca="false">SUM(J6:L6)</f>
        <v>18</v>
      </c>
      <c r="S6" s="8" t="n">
        <f aca="false">SUM(M6:O6)</f>
        <v>13</v>
      </c>
      <c r="T6" s="11" t="n">
        <f aca="false">SUM(P6:S6)</f>
        <v>88</v>
      </c>
      <c r="U6" s="8" t="str">
        <f aca="false">IF(T6&gt;=评分制度!$A$26,评分制度!$B$26,IF(T6&gt;=评分制度!$A$27,评分制度!$B$27,IF(T6&gt;=评分制度!$A$28,评分制度!$B$28,IF(T6&gt;=评分制度!$A$29,评分制度!$B$29,评分制度!$B$30))))</f>
        <v>优秀</v>
      </c>
      <c r="V6" s="12" t="s">
        <v>29</v>
      </c>
    </row>
    <row r="7" customFormat="false" ht="30" hidden="false" customHeight="true" outlineLevel="0" collapsed="false">
      <c r="A7" s="8" t="n">
        <f aca="false">RANK(T7,$T$6:$T$20,0)</f>
        <v>2</v>
      </c>
      <c r="B7" s="9" t="s">
        <v>30</v>
      </c>
      <c r="C7" s="10" t="n">
        <v>8</v>
      </c>
      <c r="D7" s="10" t="n">
        <v>8</v>
      </c>
      <c r="E7" s="10" t="n">
        <v>9</v>
      </c>
      <c r="F7" s="10" t="n">
        <v>14</v>
      </c>
      <c r="G7" s="10" t="n">
        <v>6</v>
      </c>
      <c r="H7" s="10" t="n">
        <v>7</v>
      </c>
      <c r="I7" s="10" t="n">
        <v>4</v>
      </c>
      <c r="J7" s="10" t="n">
        <v>8</v>
      </c>
      <c r="K7" s="10" t="n">
        <v>6</v>
      </c>
      <c r="L7" s="10" t="n">
        <v>4</v>
      </c>
      <c r="M7" s="10" t="n">
        <v>5</v>
      </c>
      <c r="N7" s="10" t="n">
        <v>4</v>
      </c>
      <c r="O7" s="10" t="n">
        <v>4</v>
      </c>
      <c r="P7" s="8" t="n">
        <f aca="false">SUM(C7:E7)</f>
        <v>25</v>
      </c>
      <c r="Q7" s="8" t="n">
        <f aca="false">SUM(F7:I7)</f>
        <v>31</v>
      </c>
      <c r="R7" s="8" t="n">
        <f aca="false">SUM(J7:L7)</f>
        <v>18</v>
      </c>
      <c r="S7" s="8" t="n">
        <f aca="false">SUM(M7:O7)</f>
        <v>13</v>
      </c>
      <c r="T7" s="11" t="n">
        <f aca="false">SUM(P7:S7)</f>
        <v>87</v>
      </c>
      <c r="U7" s="8" t="str">
        <f aca="false">IF(T7&gt;=评分制度!$A$26,评分制度!$B$26,IF(T7&gt;=评分制度!$A$27,评分制度!$B$27,IF(T7&gt;=评分制度!$A$28,评分制度!$B$28,IF(T7&gt;=评分制度!$A$29,评分制度!$B$29,评分制度!$B$30))))</f>
        <v>优秀</v>
      </c>
      <c r="V7" s="12" t="s">
        <v>31</v>
      </c>
    </row>
    <row r="8" customFormat="false" ht="30" hidden="false" customHeight="true" outlineLevel="0" collapsed="false">
      <c r="A8" s="8" t="n">
        <f aca="false">RANK(T8,$T$6:$T$20,0)</f>
        <v>2</v>
      </c>
      <c r="B8" s="9" t="s">
        <v>32</v>
      </c>
      <c r="C8" s="10" t="n">
        <v>10</v>
      </c>
      <c r="D8" s="10" t="n">
        <v>8</v>
      </c>
      <c r="E8" s="10" t="n">
        <v>8</v>
      </c>
      <c r="F8" s="10" t="n">
        <v>13</v>
      </c>
      <c r="G8" s="10" t="n">
        <v>6</v>
      </c>
      <c r="H8" s="10" t="n">
        <v>7</v>
      </c>
      <c r="I8" s="10" t="n">
        <v>4</v>
      </c>
      <c r="J8" s="10" t="n">
        <v>7</v>
      </c>
      <c r="K8" s="10" t="n">
        <v>7</v>
      </c>
      <c r="L8" s="10" t="n">
        <v>4</v>
      </c>
      <c r="M8" s="10" t="n">
        <v>5</v>
      </c>
      <c r="N8" s="10" t="n">
        <v>4</v>
      </c>
      <c r="O8" s="10" t="n">
        <v>4</v>
      </c>
      <c r="P8" s="8" t="n">
        <f aca="false">SUM(C8:E8)</f>
        <v>26</v>
      </c>
      <c r="Q8" s="8" t="n">
        <f aca="false">SUM(F8:I8)</f>
        <v>30</v>
      </c>
      <c r="R8" s="8" t="n">
        <f aca="false">SUM(J8:L8)</f>
        <v>18</v>
      </c>
      <c r="S8" s="8" t="n">
        <f aca="false">SUM(M8:O8)</f>
        <v>13</v>
      </c>
      <c r="T8" s="11" t="n">
        <f aca="false">SUM(P8:S8)</f>
        <v>87</v>
      </c>
      <c r="U8" s="8" t="str">
        <f aca="false">IF(T8&gt;=评分制度!$A$26,评分制度!$B$26,IF(T8&gt;=评分制度!$A$27,评分制度!$B$27,IF(T8&gt;=评分制度!$A$28,评分制度!$B$28,IF(T8&gt;=评分制度!$A$29,评分制度!$B$29,评分制度!$B$30))))</f>
        <v>优秀</v>
      </c>
      <c r="V8" s="12" t="s">
        <v>33</v>
      </c>
    </row>
    <row r="9" customFormat="false" ht="30" hidden="false" customHeight="true" outlineLevel="0" collapsed="false">
      <c r="A9" s="8" t="n">
        <f aca="false">RANK(T9,$T$6:$T$20,0)</f>
        <v>4</v>
      </c>
      <c r="B9" s="9" t="s">
        <v>34</v>
      </c>
      <c r="C9" s="10" t="n">
        <v>10</v>
      </c>
      <c r="D9" s="10" t="n">
        <v>8</v>
      </c>
      <c r="E9" s="10" t="n">
        <v>8</v>
      </c>
      <c r="F9" s="10" t="n">
        <v>14</v>
      </c>
      <c r="G9" s="10" t="n">
        <v>6</v>
      </c>
      <c r="H9" s="10" t="n">
        <v>6</v>
      </c>
      <c r="I9" s="10" t="n">
        <v>4</v>
      </c>
      <c r="J9" s="10" t="n">
        <v>7</v>
      </c>
      <c r="K9" s="10" t="n">
        <v>6</v>
      </c>
      <c r="L9" s="10" t="n">
        <v>4</v>
      </c>
      <c r="M9" s="10" t="n">
        <v>5</v>
      </c>
      <c r="N9" s="10" t="n">
        <v>4</v>
      </c>
      <c r="O9" s="10" t="n">
        <v>4</v>
      </c>
      <c r="P9" s="8" t="n">
        <f aca="false">SUM(C9:E9)</f>
        <v>26</v>
      </c>
      <c r="Q9" s="8" t="n">
        <f aca="false">SUM(F9:I9)</f>
        <v>30</v>
      </c>
      <c r="R9" s="8" t="n">
        <f aca="false">SUM(J9:L9)</f>
        <v>17</v>
      </c>
      <c r="S9" s="8" t="n">
        <f aca="false">SUM(M9:O9)</f>
        <v>13</v>
      </c>
      <c r="T9" s="11" t="n">
        <f aca="false">SUM(P9:S9)</f>
        <v>86</v>
      </c>
      <c r="U9" s="8" t="str">
        <f aca="false">IF(T9&gt;=评分制度!$A$26,评分制度!$B$26,IF(T9&gt;=评分制度!$A$27,评分制度!$B$27,IF(T9&gt;=评分制度!$A$28,评分制度!$B$28,IF(T9&gt;=评分制度!$A$29,评分制度!$B$29,评分制度!$B$30))))</f>
        <v>优秀</v>
      </c>
      <c r="V9" s="12" t="s">
        <v>35</v>
      </c>
    </row>
    <row r="10" customFormat="false" ht="30" hidden="false" customHeight="true" outlineLevel="0" collapsed="false">
      <c r="A10" s="8" t="n">
        <f aca="false">RANK(T10,$T$6:$T$20,0)</f>
        <v>4</v>
      </c>
      <c r="B10" s="9" t="s">
        <v>36</v>
      </c>
      <c r="C10" s="10" t="n">
        <v>9</v>
      </c>
      <c r="D10" s="10" t="n">
        <v>8</v>
      </c>
      <c r="E10" s="10" t="n">
        <v>8</v>
      </c>
      <c r="F10" s="10" t="n">
        <v>13</v>
      </c>
      <c r="G10" s="10" t="n">
        <v>6</v>
      </c>
      <c r="H10" s="10" t="n">
        <v>7</v>
      </c>
      <c r="I10" s="10" t="n">
        <v>4</v>
      </c>
      <c r="J10" s="10" t="n">
        <v>8</v>
      </c>
      <c r="K10" s="10" t="n">
        <v>6</v>
      </c>
      <c r="L10" s="10" t="n">
        <v>4</v>
      </c>
      <c r="M10" s="10" t="n">
        <v>5</v>
      </c>
      <c r="N10" s="10" t="n">
        <v>4</v>
      </c>
      <c r="O10" s="10" t="n">
        <v>4</v>
      </c>
      <c r="P10" s="8" t="n">
        <f aca="false">SUM(C10:E10)</f>
        <v>25</v>
      </c>
      <c r="Q10" s="8" t="n">
        <f aca="false">SUM(F10:I10)</f>
        <v>30</v>
      </c>
      <c r="R10" s="8" t="n">
        <f aca="false">SUM(J10:L10)</f>
        <v>18</v>
      </c>
      <c r="S10" s="8" t="n">
        <f aca="false">SUM(M10:O10)</f>
        <v>13</v>
      </c>
      <c r="T10" s="11" t="n">
        <f aca="false">SUM(P10:S10)</f>
        <v>86</v>
      </c>
      <c r="U10" s="8" t="str">
        <f aca="false">IF(T10&gt;=评分制度!$A$26,评分制度!$B$26,IF(T10&gt;=评分制度!$A$27,评分制度!$B$27,IF(T10&gt;=评分制度!$A$28,评分制度!$B$28,IF(T10&gt;=评分制度!$A$29,评分制度!$B$29,评分制度!$B$30))))</f>
        <v>优秀</v>
      </c>
      <c r="V10" s="12" t="s">
        <v>37</v>
      </c>
    </row>
    <row r="11" customFormat="false" ht="30" hidden="false" customHeight="true" outlineLevel="0" collapsed="false">
      <c r="A11" s="13" t="n">
        <f aca="false">RANK(T11,$T$6:$T$20,0)</f>
        <v>4</v>
      </c>
      <c r="B11" s="14" t="s">
        <v>38</v>
      </c>
      <c r="C11" s="15" t="n">
        <v>11</v>
      </c>
      <c r="D11" s="15" t="n">
        <v>7</v>
      </c>
      <c r="E11" s="15" t="n">
        <v>7</v>
      </c>
      <c r="F11" s="15" t="n">
        <v>14</v>
      </c>
      <c r="G11" s="15" t="n">
        <v>7</v>
      </c>
      <c r="H11" s="15" t="n">
        <v>7</v>
      </c>
      <c r="I11" s="15" t="n">
        <v>4</v>
      </c>
      <c r="J11" s="15" t="n">
        <v>7</v>
      </c>
      <c r="K11" s="15" t="n">
        <v>5</v>
      </c>
      <c r="L11" s="15" t="n">
        <v>4</v>
      </c>
      <c r="M11" s="15" t="n">
        <v>5</v>
      </c>
      <c r="N11" s="15" t="n">
        <v>4</v>
      </c>
      <c r="O11" s="15" t="n">
        <v>4</v>
      </c>
      <c r="P11" s="13" t="n">
        <f aca="false">SUM(C11:E11)</f>
        <v>25</v>
      </c>
      <c r="Q11" s="13" t="n">
        <f aca="false">SUM(F11:I11)</f>
        <v>32</v>
      </c>
      <c r="R11" s="13" t="n">
        <f aca="false">SUM(J11:L11)</f>
        <v>16</v>
      </c>
      <c r="S11" s="13" t="n">
        <f aca="false">SUM(M11:O11)</f>
        <v>13</v>
      </c>
      <c r="T11" s="16" t="n">
        <f aca="false">SUM(P11:S11)</f>
        <v>86</v>
      </c>
      <c r="U11" s="13" t="str">
        <f aca="false">IF(T11&gt;=评分制度!$A$26,评分制度!$B$26,IF(T11&gt;=评分制度!$A$27,评分制度!$B$27,IF(T11&gt;=评分制度!$A$28,评分制度!$B$28,IF(T11&gt;=评分制度!$A$29,评分制度!$B$29,评分制度!$B$30))))</f>
        <v>优秀</v>
      </c>
      <c r="V11" s="17" t="s">
        <v>39</v>
      </c>
    </row>
    <row r="12" customFormat="false" ht="30" hidden="false" customHeight="true" outlineLevel="0" collapsed="false">
      <c r="A12" s="8" t="n">
        <f aca="false">RANK(T12,$T$6:$T$20,0)</f>
        <v>7</v>
      </c>
      <c r="B12" s="9" t="s">
        <v>40</v>
      </c>
      <c r="C12" s="10" t="n">
        <v>8</v>
      </c>
      <c r="D12" s="10" t="n">
        <v>8</v>
      </c>
      <c r="E12" s="10" t="n">
        <v>8</v>
      </c>
      <c r="F12" s="10" t="n">
        <v>12</v>
      </c>
      <c r="G12" s="10" t="n">
        <v>6</v>
      </c>
      <c r="H12" s="10" t="n">
        <v>7</v>
      </c>
      <c r="I12" s="10" t="n">
        <v>4</v>
      </c>
      <c r="J12" s="10" t="n">
        <v>8</v>
      </c>
      <c r="K12" s="10" t="n">
        <v>7</v>
      </c>
      <c r="L12" s="10" t="n">
        <v>3</v>
      </c>
      <c r="M12" s="10" t="n">
        <v>5</v>
      </c>
      <c r="N12" s="10" t="n">
        <v>4</v>
      </c>
      <c r="O12" s="10" t="n">
        <v>4</v>
      </c>
      <c r="P12" s="8" t="n">
        <f aca="false">SUM(C12:E12)</f>
        <v>24</v>
      </c>
      <c r="Q12" s="8" t="n">
        <f aca="false">SUM(F12:I12)</f>
        <v>29</v>
      </c>
      <c r="R12" s="8" t="n">
        <f aca="false">SUM(J12:L12)</f>
        <v>18</v>
      </c>
      <c r="S12" s="8" t="n">
        <f aca="false">SUM(M12:O12)</f>
        <v>13</v>
      </c>
      <c r="T12" s="11" t="n">
        <f aca="false">SUM(P12:S12)</f>
        <v>84</v>
      </c>
      <c r="U12" s="8" t="str">
        <f aca="false">IF(T12&gt;=评分制度!$A$26,评分制度!$B$26,IF(T12&gt;=评分制度!$A$27,评分制度!$B$27,IF(T12&gt;=评分制度!$A$28,评分制度!$B$28,IF(T12&gt;=评分制度!$A$29,评分制度!$B$29,评分制度!$B$30))))</f>
        <v>优秀</v>
      </c>
      <c r="V12" s="12" t="s">
        <v>41</v>
      </c>
    </row>
    <row r="13" customFormat="false" ht="30" hidden="false" customHeight="true" outlineLevel="0" collapsed="false">
      <c r="A13" s="8" t="n">
        <f aca="false">RANK(T13,$T$6:$T$20,0)</f>
        <v>8</v>
      </c>
      <c r="B13" s="9" t="s">
        <v>42</v>
      </c>
      <c r="C13" s="10" t="n">
        <v>8</v>
      </c>
      <c r="D13" s="10" t="n">
        <v>8</v>
      </c>
      <c r="E13" s="10" t="n">
        <v>8</v>
      </c>
      <c r="F13" s="10" t="n">
        <v>13</v>
      </c>
      <c r="G13" s="10" t="n">
        <v>6</v>
      </c>
      <c r="H13" s="10" t="n">
        <v>7</v>
      </c>
      <c r="I13" s="10" t="n">
        <v>4</v>
      </c>
      <c r="J13" s="10" t="n">
        <v>6</v>
      </c>
      <c r="K13" s="10" t="n">
        <v>5</v>
      </c>
      <c r="L13" s="10" t="n">
        <v>4</v>
      </c>
      <c r="M13" s="10" t="n">
        <v>5</v>
      </c>
      <c r="N13" s="10" t="n">
        <v>4</v>
      </c>
      <c r="O13" s="10" t="n">
        <v>4</v>
      </c>
      <c r="P13" s="8" t="n">
        <f aca="false">SUM(C13:E13)</f>
        <v>24</v>
      </c>
      <c r="Q13" s="8" t="n">
        <f aca="false">SUM(F13:I13)</f>
        <v>30</v>
      </c>
      <c r="R13" s="8" t="n">
        <f aca="false">SUM(J13:L13)</f>
        <v>15</v>
      </c>
      <c r="S13" s="8" t="n">
        <f aca="false">SUM(M13:O13)</f>
        <v>13</v>
      </c>
      <c r="T13" s="11" t="n">
        <f aca="false">SUM(P13:S13)</f>
        <v>82</v>
      </c>
      <c r="U13" s="8" t="str">
        <f aca="false">IF(T13&gt;=评分制度!$A$26,评分制度!$B$26,IF(T13&gt;=评分制度!$A$27,评分制度!$B$27,IF(T13&gt;=评分制度!$A$28,评分制度!$B$28,IF(T13&gt;=评分制度!$A$29,评分制度!$B$29,评分制度!$B$30))))</f>
        <v>优秀</v>
      </c>
      <c r="V13" s="12" t="s">
        <v>43</v>
      </c>
    </row>
    <row r="14" customFormat="false" ht="30" hidden="false" customHeight="true" outlineLevel="0" collapsed="false">
      <c r="A14" s="8" t="n">
        <f aca="false">RANK(T14,$T$6:$T$20,0)</f>
        <v>9</v>
      </c>
      <c r="B14" s="9" t="s">
        <v>44</v>
      </c>
      <c r="C14" s="10" t="n">
        <v>9</v>
      </c>
      <c r="D14" s="10" t="n">
        <v>7</v>
      </c>
      <c r="E14" s="10" t="n">
        <v>8</v>
      </c>
      <c r="F14" s="10" t="n">
        <v>13</v>
      </c>
      <c r="G14" s="10" t="n">
        <v>6</v>
      </c>
      <c r="H14" s="10" t="n">
        <v>7</v>
      </c>
      <c r="I14" s="10" t="n">
        <v>3</v>
      </c>
      <c r="J14" s="10" t="n">
        <v>7</v>
      </c>
      <c r="K14" s="10" t="n">
        <v>6</v>
      </c>
      <c r="L14" s="10" t="n">
        <v>3</v>
      </c>
      <c r="M14" s="10" t="n">
        <v>4</v>
      </c>
      <c r="N14" s="10" t="n">
        <v>4</v>
      </c>
      <c r="O14" s="10" t="n">
        <v>4</v>
      </c>
      <c r="P14" s="8" t="n">
        <f aca="false">SUM(C14:E14)</f>
        <v>24</v>
      </c>
      <c r="Q14" s="8" t="n">
        <f aca="false">SUM(F14:I14)</f>
        <v>29</v>
      </c>
      <c r="R14" s="8" t="n">
        <f aca="false">SUM(J14:L14)</f>
        <v>16</v>
      </c>
      <c r="S14" s="8" t="n">
        <f aca="false">SUM(M14:O14)</f>
        <v>12</v>
      </c>
      <c r="T14" s="11" t="n">
        <f aca="false">SUM(P14:S14)</f>
        <v>81</v>
      </c>
      <c r="U14" s="8" t="str">
        <f aca="false">IF(T14&gt;=评分制度!$A$26,评分制度!$B$26,IF(T14&gt;=评分制度!$A$27,评分制度!$B$27,IF(T14&gt;=评分制度!$A$28,评分制度!$B$28,IF(T14&gt;=评分制度!$A$29,评分制度!$B$29,评分制度!$B$30))))</f>
        <v>优秀</v>
      </c>
      <c r="V14" s="12" t="s">
        <v>45</v>
      </c>
    </row>
    <row r="15" customFormat="false" ht="30" hidden="false" customHeight="true" outlineLevel="0" collapsed="false">
      <c r="A15" s="8" t="n">
        <f aca="false">RANK(T15,$T$6:$T$20,0)</f>
        <v>10</v>
      </c>
      <c r="B15" s="9" t="s">
        <v>46</v>
      </c>
      <c r="C15" s="10" t="n">
        <v>8</v>
      </c>
      <c r="D15" s="10" t="n">
        <v>7</v>
      </c>
      <c r="E15" s="10" t="n">
        <v>5</v>
      </c>
      <c r="F15" s="10" t="n">
        <v>12</v>
      </c>
      <c r="G15" s="10" t="n">
        <v>5</v>
      </c>
      <c r="H15" s="10" t="n">
        <v>6</v>
      </c>
      <c r="I15" s="10" t="n">
        <v>4</v>
      </c>
      <c r="J15" s="10" t="n">
        <v>8</v>
      </c>
      <c r="K15" s="10" t="n">
        <v>7</v>
      </c>
      <c r="L15" s="10" t="n">
        <v>4</v>
      </c>
      <c r="M15" s="10" t="n">
        <v>5</v>
      </c>
      <c r="N15" s="10" t="n">
        <v>4</v>
      </c>
      <c r="O15" s="10" t="n">
        <v>3</v>
      </c>
      <c r="P15" s="8" t="n">
        <f aca="false">SUM(C15:E15)</f>
        <v>20</v>
      </c>
      <c r="Q15" s="8" t="n">
        <f aca="false">SUM(F15:I15)</f>
        <v>27</v>
      </c>
      <c r="R15" s="8" t="n">
        <f aca="false">SUM(J15:L15)</f>
        <v>19</v>
      </c>
      <c r="S15" s="8" t="n">
        <f aca="false">SUM(M15:O15)</f>
        <v>12</v>
      </c>
      <c r="T15" s="11" t="n">
        <f aca="false">SUM(P15:S15)</f>
        <v>78</v>
      </c>
      <c r="U15" s="8" t="str">
        <f aca="false">IF(T15&gt;=评分制度!$A$26,评分制度!$B$26,IF(T15&gt;=评分制度!$A$27,评分制度!$B$27,IF(T15&gt;=评分制度!$A$28,评分制度!$B$28,IF(T15&gt;=评分制度!$A$29,评分制度!$B$29,评分制度!$B$30))))</f>
        <v>良好</v>
      </c>
      <c r="V15" s="12" t="s">
        <v>47</v>
      </c>
    </row>
    <row r="16" customFormat="false" ht="30" hidden="false" customHeight="true" outlineLevel="0" collapsed="false">
      <c r="A16" s="8" t="n">
        <f aca="false">RANK(T16,$T$6:$T$20,0)</f>
        <v>11</v>
      </c>
      <c r="B16" s="9" t="s">
        <v>48</v>
      </c>
      <c r="C16" s="10" t="n">
        <v>8</v>
      </c>
      <c r="D16" s="10" t="n">
        <v>7</v>
      </c>
      <c r="E16" s="10" t="n">
        <v>6</v>
      </c>
      <c r="F16" s="10" t="n">
        <v>11</v>
      </c>
      <c r="G16" s="10" t="n">
        <v>6</v>
      </c>
      <c r="H16" s="10" t="n">
        <v>5</v>
      </c>
      <c r="I16" s="10" t="n">
        <v>4</v>
      </c>
      <c r="J16" s="10" t="n">
        <v>7</v>
      </c>
      <c r="K16" s="10" t="n">
        <v>6</v>
      </c>
      <c r="L16" s="10" t="n">
        <v>4</v>
      </c>
      <c r="M16" s="10" t="n">
        <v>5</v>
      </c>
      <c r="N16" s="10" t="n">
        <v>4</v>
      </c>
      <c r="O16" s="10" t="n">
        <v>3</v>
      </c>
      <c r="P16" s="8" t="n">
        <f aca="false">SUM(C16:E16)</f>
        <v>21</v>
      </c>
      <c r="Q16" s="8" t="n">
        <f aca="false">SUM(F16:I16)</f>
        <v>26</v>
      </c>
      <c r="R16" s="8" t="n">
        <f aca="false">SUM(J16:L16)</f>
        <v>17</v>
      </c>
      <c r="S16" s="8" t="n">
        <f aca="false">SUM(M16:O16)</f>
        <v>12</v>
      </c>
      <c r="T16" s="11" t="n">
        <f aca="false">SUM(P16:S16)</f>
        <v>76</v>
      </c>
      <c r="U16" s="8" t="str">
        <f aca="false">IF(T16&gt;=评分制度!$A$26,评分制度!$B$26,IF(T16&gt;=评分制度!$A$27,评分制度!$B$27,IF(T16&gt;=评分制度!$A$28,评分制度!$B$28,IF(T16&gt;=评分制度!$A$29,评分制度!$B$29,评分制度!$B$30))))</f>
        <v>良好</v>
      </c>
      <c r="V16" s="12" t="s">
        <v>49</v>
      </c>
    </row>
    <row r="17" customFormat="false" ht="30" hidden="false" customHeight="true" outlineLevel="0" collapsed="false">
      <c r="A17" s="8" t="n">
        <f aca="false">RANK(T17,$T$6:$T$20,0)</f>
        <v>12</v>
      </c>
      <c r="B17" s="9" t="s">
        <v>50</v>
      </c>
      <c r="C17" s="10" t="n">
        <v>8</v>
      </c>
      <c r="D17" s="10" t="n">
        <v>7</v>
      </c>
      <c r="E17" s="10" t="n">
        <v>4</v>
      </c>
      <c r="F17" s="10" t="n">
        <v>8</v>
      </c>
      <c r="G17" s="10" t="n">
        <v>5</v>
      </c>
      <c r="H17" s="10" t="n">
        <v>6</v>
      </c>
      <c r="I17" s="10" t="n">
        <v>3</v>
      </c>
      <c r="J17" s="10" t="n">
        <v>6</v>
      </c>
      <c r="K17" s="10" t="n">
        <v>5</v>
      </c>
      <c r="L17" s="10" t="n">
        <v>3</v>
      </c>
      <c r="M17" s="10" t="n">
        <v>5</v>
      </c>
      <c r="N17" s="10" t="n">
        <v>4</v>
      </c>
      <c r="O17" s="10" t="n">
        <v>3</v>
      </c>
      <c r="P17" s="8" t="n">
        <f aca="false">SUM(C17:E17)</f>
        <v>19</v>
      </c>
      <c r="Q17" s="8" t="n">
        <f aca="false">SUM(F17:I17)</f>
        <v>22</v>
      </c>
      <c r="R17" s="8" t="n">
        <f aca="false">SUM(J17:L17)</f>
        <v>14</v>
      </c>
      <c r="S17" s="8" t="n">
        <f aca="false">SUM(M17:O17)</f>
        <v>12</v>
      </c>
      <c r="T17" s="11" t="n">
        <f aca="false">SUM(P17:S17)</f>
        <v>67</v>
      </c>
      <c r="U17" s="8" t="str">
        <f aca="false">IF(T17&gt;=评分制度!$A$26,评分制度!$B$26,IF(T17&gt;=评分制度!$A$27,评分制度!$B$27,IF(T17&gt;=评分制度!$A$28,评分制度!$B$28,IF(T17&gt;=评分制度!$A$29,评分制度!$B$29,评分制度!$B$30))))</f>
        <v>及格</v>
      </c>
      <c r="V17" s="12" t="s">
        <v>51</v>
      </c>
    </row>
    <row r="18" customFormat="false" ht="30" hidden="false" customHeight="true" outlineLevel="0" collapsed="false">
      <c r="A18" s="8" t="n">
        <f aca="false">RANK(T18,$T$6:$T$20,0)</f>
        <v>13</v>
      </c>
      <c r="B18" s="9" t="s">
        <v>52</v>
      </c>
      <c r="C18" s="10" t="n">
        <v>7</v>
      </c>
      <c r="D18" s="10" t="n">
        <v>6</v>
      </c>
      <c r="E18" s="10" t="n">
        <v>5</v>
      </c>
      <c r="F18" s="10" t="n">
        <v>9</v>
      </c>
      <c r="G18" s="10" t="n">
        <v>4</v>
      </c>
      <c r="H18" s="10" t="n">
        <v>5</v>
      </c>
      <c r="I18" s="10" t="n">
        <v>4</v>
      </c>
      <c r="J18" s="10" t="n">
        <v>5</v>
      </c>
      <c r="K18" s="10" t="n">
        <v>4</v>
      </c>
      <c r="L18" s="10" t="n">
        <v>3</v>
      </c>
      <c r="M18" s="10" t="n">
        <v>5</v>
      </c>
      <c r="N18" s="10" t="n">
        <v>3</v>
      </c>
      <c r="O18" s="10" t="n">
        <v>3</v>
      </c>
      <c r="P18" s="8" t="n">
        <f aca="false">SUM(C18:E18)</f>
        <v>18</v>
      </c>
      <c r="Q18" s="8" t="n">
        <f aca="false">SUM(F18:I18)</f>
        <v>22</v>
      </c>
      <c r="R18" s="8" t="n">
        <f aca="false">SUM(J18:L18)</f>
        <v>12</v>
      </c>
      <c r="S18" s="8" t="n">
        <f aca="false">SUM(M18:O18)</f>
        <v>11</v>
      </c>
      <c r="T18" s="11" t="n">
        <f aca="false">SUM(P18:S18)</f>
        <v>63</v>
      </c>
      <c r="U18" s="8" t="str">
        <f aca="false">IF(T18&gt;=评分制度!$A$26,评分制度!$B$26,IF(T18&gt;=评分制度!$A$27,评分制度!$B$27,IF(T18&gt;=评分制度!$A$28,评分制度!$B$28,IF(T18&gt;=评分制度!$A$29,评分制度!$B$29,评分制度!$B$30))))</f>
        <v>及格</v>
      </c>
      <c r="V18" s="12" t="s">
        <v>53</v>
      </c>
    </row>
    <row r="19" customFormat="false" ht="30" hidden="false" customHeight="true" outlineLevel="0" collapsed="false">
      <c r="A19" s="8" t="n">
        <f aca="false">RANK(T19,$T$6:$T$20,0)</f>
        <v>14</v>
      </c>
      <c r="B19" s="9" t="s">
        <v>54</v>
      </c>
      <c r="C19" s="10" t="n">
        <v>8</v>
      </c>
      <c r="D19" s="10" t="n">
        <v>7</v>
      </c>
      <c r="E19" s="10" t="n">
        <v>4</v>
      </c>
      <c r="F19" s="10" t="n">
        <v>8</v>
      </c>
      <c r="G19" s="10" t="n">
        <v>4</v>
      </c>
      <c r="H19" s="10" t="n">
        <v>5</v>
      </c>
      <c r="I19" s="10" t="n">
        <v>4</v>
      </c>
      <c r="J19" s="10" t="n">
        <v>5</v>
      </c>
      <c r="K19" s="10" t="n">
        <v>4</v>
      </c>
      <c r="L19" s="10" t="n">
        <v>2</v>
      </c>
      <c r="M19" s="10" t="n">
        <v>5</v>
      </c>
      <c r="N19" s="10" t="n">
        <v>3</v>
      </c>
      <c r="O19" s="10" t="n">
        <v>3</v>
      </c>
      <c r="P19" s="8" t="n">
        <f aca="false">SUM(C19:E19)</f>
        <v>19</v>
      </c>
      <c r="Q19" s="8" t="n">
        <f aca="false">SUM(F19:I19)</f>
        <v>21</v>
      </c>
      <c r="R19" s="8" t="n">
        <f aca="false">SUM(J19:L19)</f>
        <v>11</v>
      </c>
      <c r="S19" s="8" t="n">
        <f aca="false">SUM(M19:O19)</f>
        <v>11</v>
      </c>
      <c r="T19" s="11" t="n">
        <f aca="false">SUM(P19:S19)</f>
        <v>62</v>
      </c>
      <c r="U19" s="8" t="str">
        <f aca="false">IF(T19&gt;=评分制度!$A$26,评分制度!$B$26,IF(T19&gt;=评分制度!$A$27,评分制度!$B$27,IF(T19&gt;=评分制度!$A$28,评分制度!$B$28,IF(T19&gt;=评分制度!$A$29,评分制度!$B$29,评分制度!$B$30))))</f>
        <v>及格</v>
      </c>
      <c r="V19" s="12" t="s">
        <v>55</v>
      </c>
    </row>
    <row r="20" customFormat="false" ht="30" hidden="false" customHeight="true" outlineLevel="0" collapsed="false">
      <c r="A20" s="8" t="n">
        <f aca="false">RANK(T20,$T$6:$T$20,0)</f>
        <v>15</v>
      </c>
      <c r="B20" s="9" t="s">
        <v>56</v>
      </c>
      <c r="C20" s="10" t="n">
        <v>7</v>
      </c>
      <c r="D20" s="10" t="n">
        <v>5</v>
      </c>
      <c r="E20" s="10" t="n">
        <v>5</v>
      </c>
      <c r="F20" s="10" t="n">
        <v>8</v>
      </c>
      <c r="G20" s="10" t="n">
        <v>4</v>
      </c>
      <c r="H20" s="10" t="n">
        <v>4</v>
      </c>
      <c r="I20" s="10" t="n">
        <v>4</v>
      </c>
      <c r="J20" s="10" t="n">
        <v>5</v>
      </c>
      <c r="K20" s="10" t="n">
        <v>4</v>
      </c>
      <c r="L20" s="10" t="n">
        <v>2</v>
      </c>
      <c r="M20" s="10" t="n">
        <v>5</v>
      </c>
      <c r="N20" s="10" t="n">
        <v>3</v>
      </c>
      <c r="O20" s="10" t="n">
        <v>3</v>
      </c>
      <c r="P20" s="8" t="n">
        <f aca="false">SUM(C20:E20)</f>
        <v>17</v>
      </c>
      <c r="Q20" s="8" t="n">
        <f aca="false">SUM(F20:I20)</f>
        <v>20</v>
      </c>
      <c r="R20" s="8" t="n">
        <f aca="false">SUM(J20:L20)</f>
        <v>11</v>
      </c>
      <c r="S20" s="8" t="n">
        <f aca="false">SUM(M20:O20)</f>
        <v>11</v>
      </c>
      <c r="T20" s="11" t="n">
        <f aca="false">SUM(P20:S20)</f>
        <v>59</v>
      </c>
      <c r="U20" s="8" t="str">
        <f aca="false">IF(T20&gt;=评分制度!$A$26,评分制度!$B$26,IF(T20&gt;=评分制度!$A$27,评分制度!$B$27,IF(T20&gt;=评分制度!$A$28,评分制度!$B$28,IF(T20&gt;=评分制度!$A$29,评分制度!$B$29,评分制度!$B$30))))</f>
        <v>有明显缺陷</v>
      </c>
      <c r="V20" s="12" t="s">
        <v>57</v>
      </c>
    </row>
  </sheetData>
  <mergeCells count="5">
    <mergeCell ref="C3:E3"/>
    <mergeCell ref="F3:I3"/>
    <mergeCell ref="J3:L3"/>
    <mergeCell ref="M3:O3"/>
    <mergeCell ref="P3:S3"/>
  </mergeCells>
  <conditionalFormatting sqref="T6:T20">
    <cfRule type="colorScale" priority="2">
      <colorScale>
        <cfvo type="min" val="0"/>
        <cfvo type="percentile" val="50"/>
        <cfvo type="max" val="0"/>
        <color rgb="FFF8CBAD"/>
        <color rgb="FFFFF2CC"/>
        <color rgb="FFC6E0B4"/>
      </colorScale>
    </cfRule>
  </conditionalFormatting>
  <dataValidations count="13">
    <dataValidation allowBlank="false" error="分值需在 0 到满分之间" errorStyle="stop" errorTitle="超出范围" operator="between" showDropDown="false" showErrorMessage="true" showInputMessage="false" sqref="C6:C20" type="decimal">
      <formula1>0</formula1>
      <formula2>C$5</formula2>
    </dataValidation>
    <dataValidation allowBlank="false" error="分值需在 0 到满分之间" errorStyle="stop" errorTitle="超出范围" operator="between" showDropDown="false" showErrorMessage="true" showInputMessage="false" sqref="D6:D20" type="decimal">
      <formula1>0</formula1>
      <formula2>D$5</formula2>
    </dataValidation>
    <dataValidation allowBlank="false" error="分值需在 0 到满分之间" errorStyle="stop" errorTitle="超出范围" operator="between" showDropDown="false" showErrorMessage="true" showInputMessage="false" sqref="E6:E20" type="decimal">
      <formula1>0</formula1>
      <formula2>E$5</formula2>
    </dataValidation>
    <dataValidation allowBlank="false" error="分值需在 0 到满分之间" errorStyle="stop" errorTitle="超出范围" operator="between" showDropDown="false" showErrorMessage="true" showInputMessage="false" sqref="F6:F20" type="decimal">
      <formula1>0</formula1>
      <formula2>F$5</formula2>
    </dataValidation>
    <dataValidation allowBlank="false" error="分值需在 0 到满分之间" errorStyle="stop" errorTitle="超出范围" operator="between" showDropDown="false" showErrorMessage="true" showInputMessage="false" sqref="G6:G20" type="decimal">
      <formula1>0</formula1>
      <formula2>G$5</formula2>
    </dataValidation>
    <dataValidation allowBlank="false" error="分值需在 0 到满分之间" errorStyle="stop" errorTitle="超出范围" operator="between" showDropDown="false" showErrorMessage="true" showInputMessage="false" sqref="H6:H20" type="decimal">
      <formula1>0</formula1>
      <formula2>H$5</formula2>
    </dataValidation>
    <dataValidation allowBlank="false" error="分值需在 0 到满分之间" errorStyle="stop" errorTitle="超出范围" operator="between" showDropDown="false" showErrorMessage="true" showInputMessage="false" sqref="I6:I20" type="decimal">
      <formula1>0</formula1>
      <formula2>I$5</formula2>
    </dataValidation>
    <dataValidation allowBlank="false" error="分值需在 0 到满分之间" errorStyle="stop" errorTitle="超出范围" operator="between" showDropDown="false" showErrorMessage="true" showInputMessage="false" sqref="J6:J20" type="decimal">
      <formula1>0</formula1>
      <formula2>J$5</formula2>
    </dataValidation>
    <dataValidation allowBlank="false" error="分值需在 0 到满分之间" errorStyle="stop" errorTitle="超出范围" operator="between" showDropDown="false" showErrorMessage="true" showInputMessage="false" sqref="K6:K20" type="decimal">
      <formula1>0</formula1>
      <formula2>K$5</formula2>
    </dataValidation>
    <dataValidation allowBlank="false" error="分值需在 0 到满分之间" errorStyle="stop" errorTitle="超出范围" operator="between" showDropDown="false" showErrorMessage="true" showInputMessage="false" sqref="L6:L20" type="decimal">
      <formula1>0</formula1>
      <formula2>L$5</formula2>
    </dataValidation>
    <dataValidation allowBlank="false" error="分值需在 0 到满分之间" errorStyle="stop" errorTitle="超出范围" operator="between" showDropDown="false" showErrorMessage="true" showInputMessage="false" sqref="M6:M20" type="decimal">
      <formula1>0</formula1>
      <formula2>M$5</formula2>
    </dataValidation>
    <dataValidation allowBlank="false" error="分值需在 0 到满分之间" errorStyle="stop" errorTitle="超出范围" operator="between" showDropDown="false" showErrorMessage="true" showInputMessage="false" sqref="N6:N20" type="decimal">
      <formula1>0</formula1>
      <formula2>N$5</formula2>
    </dataValidation>
    <dataValidation allowBlank="false" error="分值需在 0 到满分之间" errorStyle="stop" errorTitle="超出范围" operator="between" showDropDown="false" showErrorMessage="true" showInputMessage="false" sqref="O6:O20" type="decimal">
      <formula1>0</formula1>
      <formula2>O$5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8"/>
    <col collapsed="false" customWidth="true" hidden="false" outlineLevel="0" max="3" min="3" style="0" width="26"/>
    <col collapsed="false" customWidth="true" hidden="false" outlineLevel="0" max="4" min="4" style="0" width="9"/>
    <col collapsed="false" customWidth="true" hidden="false" outlineLevel="0" max="5" min="5" style="0" width="52"/>
  </cols>
  <sheetData>
    <row r="1" customFormat="false" ht="21.6" hidden="false" customHeight="false" outlineLevel="0" collapsed="false">
      <c r="A1" s="1" t="s">
        <v>58</v>
      </c>
    </row>
    <row r="2" customFormat="false" ht="15" hidden="false" customHeight="false" outlineLevel="0" collapsed="false">
      <c r="A2" s="2" t="s">
        <v>59</v>
      </c>
    </row>
    <row r="3" customFormat="false" ht="15" hidden="false" customHeight="false" outlineLevel="0" collapsed="false">
      <c r="A3" s="4" t="s">
        <v>60</v>
      </c>
      <c r="B3" s="4" t="s">
        <v>61</v>
      </c>
      <c r="C3" s="4" t="s">
        <v>62</v>
      </c>
      <c r="D3" s="4" t="s">
        <v>63</v>
      </c>
      <c r="E3" s="4" t="s">
        <v>64</v>
      </c>
    </row>
    <row r="4" customFormat="false" ht="15" hidden="false" customHeight="false" outlineLevel="0" collapsed="false">
      <c r="A4" s="9" t="s">
        <v>65</v>
      </c>
      <c r="B4" s="8" t="s">
        <v>66</v>
      </c>
      <c r="C4" s="12" t="s">
        <v>67</v>
      </c>
      <c r="D4" s="10" t="n">
        <v>12</v>
      </c>
      <c r="E4" s="12" t="s">
        <v>68</v>
      </c>
    </row>
    <row r="5" customFormat="false" ht="15" hidden="false" customHeight="false" outlineLevel="0" collapsed="false">
      <c r="A5" s="9" t="s">
        <v>65</v>
      </c>
      <c r="B5" s="8" t="s">
        <v>69</v>
      </c>
      <c r="C5" s="12" t="s">
        <v>70</v>
      </c>
      <c r="D5" s="10" t="n">
        <v>8</v>
      </c>
      <c r="E5" s="12" t="s">
        <v>71</v>
      </c>
    </row>
    <row r="6" customFormat="false" ht="15" hidden="false" customHeight="false" outlineLevel="0" collapsed="false">
      <c r="A6" s="9" t="s">
        <v>65</v>
      </c>
      <c r="B6" s="8" t="s">
        <v>72</v>
      </c>
      <c r="C6" s="12" t="s">
        <v>73</v>
      </c>
      <c r="D6" s="10" t="n">
        <v>10</v>
      </c>
      <c r="E6" s="12" t="s">
        <v>74</v>
      </c>
    </row>
    <row r="7" customFormat="false" ht="15" hidden="false" customHeight="false" outlineLevel="0" collapsed="false">
      <c r="A7" s="9" t="s">
        <v>75</v>
      </c>
      <c r="B7" s="8" t="s">
        <v>76</v>
      </c>
      <c r="C7" s="12" t="s">
        <v>77</v>
      </c>
      <c r="D7" s="10" t="n">
        <v>15</v>
      </c>
      <c r="E7" s="12" t="s">
        <v>78</v>
      </c>
    </row>
    <row r="8" customFormat="false" ht="15" hidden="false" customHeight="false" outlineLevel="0" collapsed="false">
      <c r="A8" s="9" t="s">
        <v>75</v>
      </c>
      <c r="B8" s="8" t="s">
        <v>79</v>
      </c>
      <c r="C8" s="12" t="s">
        <v>80</v>
      </c>
      <c r="D8" s="10" t="n">
        <v>8</v>
      </c>
      <c r="E8" s="12" t="s">
        <v>81</v>
      </c>
    </row>
    <row r="9" customFormat="false" ht="15" hidden="false" customHeight="false" outlineLevel="0" collapsed="false">
      <c r="A9" s="9" t="s">
        <v>75</v>
      </c>
      <c r="B9" s="8" t="s">
        <v>82</v>
      </c>
      <c r="C9" s="12" t="s">
        <v>83</v>
      </c>
      <c r="D9" s="10" t="n">
        <v>7</v>
      </c>
      <c r="E9" s="12" t="s">
        <v>84</v>
      </c>
    </row>
    <row r="10" customFormat="false" ht="15" hidden="false" customHeight="false" outlineLevel="0" collapsed="false">
      <c r="A10" s="9" t="s">
        <v>75</v>
      </c>
      <c r="B10" s="8" t="s">
        <v>85</v>
      </c>
      <c r="C10" s="12" t="s">
        <v>86</v>
      </c>
      <c r="D10" s="10" t="n">
        <v>5</v>
      </c>
      <c r="E10" s="12" t="s">
        <v>87</v>
      </c>
    </row>
    <row r="11" customFormat="false" ht="15" hidden="false" customHeight="false" outlineLevel="0" collapsed="false">
      <c r="A11" s="9" t="s">
        <v>88</v>
      </c>
      <c r="B11" s="8" t="s">
        <v>89</v>
      </c>
      <c r="C11" s="12" t="s">
        <v>90</v>
      </c>
      <c r="D11" s="10" t="n">
        <v>8</v>
      </c>
      <c r="E11" s="12" t="s">
        <v>91</v>
      </c>
    </row>
    <row r="12" customFormat="false" ht="15" hidden="false" customHeight="false" outlineLevel="0" collapsed="false">
      <c r="A12" s="9" t="s">
        <v>88</v>
      </c>
      <c r="B12" s="8" t="s">
        <v>92</v>
      </c>
      <c r="C12" s="12" t="s">
        <v>93</v>
      </c>
      <c r="D12" s="10" t="n">
        <v>7</v>
      </c>
      <c r="E12" s="12" t="s">
        <v>94</v>
      </c>
    </row>
    <row r="13" customFormat="false" ht="15" hidden="false" customHeight="false" outlineLevel="0" collapsed="false">
      <c r="A13" s="9" t="s">
        <v>88</v>
      </c>
      <c r="B13" s="8" t="s">
        <v>95</v>
      </c>
      <c r="C13" s="12" t="s">
        <v>96</v>
      </c>
      <c r="D13" s="10" t="n">
        <v>5</v>
      </c>
      <c r="E13" s="12" t="s">
        <v>97</v>
      </c>
    </row>
    <row r="14" customFormat="false" ht="15" hidden="false" customHeight="false" outlineLevel="0" collapsed="false">
      <c r="A14" s="9" t="s">
        <v>98</v>
      </c>
      <c r="B14" s="8" t="s">
        <v>99</v>
      </c>
      <c r="C14" s="12" t="s">
        <v>100</v>
      </c>
      <c r="D14" s="10" t="n">
        <v>5</v>
      </c>
      <c r="E14" s="9" t="s">
        <v>101</v>
      </c>
    </row>
    <row r="15" customFormat="false" ht="15" hidden="false" customHeight="false" outlineLevel="0" collapsed="false">
      <c r="A15" s="9" t="s">
        <v>98</v>
      </c>
      <c r="B15" s="8" t="s">
        <v>102</v>
      </c>
      <c r="C15" s="12" t="s">
        <v>103</v>
      </c>
      <c r="D15" s="10" t="n">
        <v>5</v>
      </c>
      <c r="E15" s="12" t="s">
        <v>104</v>
      </c>
    </row>
    <row r="16" customFormat="false" ht="15" hidden="false" customHeight="false" outlineLevel="0" collapsed="false">
      <c r="A16" s="9" t="s">
        <v>98</v>
      </c>
      <c r="B16" s="8" t="s">
        <v>105</v>
      </c>
      <c r="C16" s="12" t="s">
        <v>106</v>
      </c>
      <c r="D16" s="10" t="n">
        <v>5</v>
      </c>
      <c r="E16" s="12" t="s">
        <v>107</v>
      </c>
    </row>
    <row r="17" customFormat="false" ht="15" hidden="false" customHeight="false" outlineLevel="0" collapsed="false">
      <c r="C17" s="18" t="s">
        <v>108</v>
      </c>
      <c r="D17" s="19" t="n">
        <f aca="false">SUM(D4:D16)</f>
        <v>100</v>
      </c>
      <c r="E17" s="20" t="str">
        <f aca="false">IF(D17=100,"OK：合计 100","注意：合计应为 100")</f>
        <v>OK：合计 100</v>
      </c>
    </row>
    <row r="19" customFormat="false" ht="15" hidden="false" customHeight="false" outlineLevel="0" collapsed="false">
      <c r="A19" s="4" t="s">
        <v>60</v>
      </c>
      <c r="B19" s="3"/>
      <c r="C19" s="3"/>
      <c r="D19" s="4" t="s">
        <v>109</v>
      </c>
    </row>
    <row r="20" customFormat="false" ht="15" hidden="false" customHeight="false" outlineLevel="0" collapsed="false">
      <c r="A20" s="21" t="s">
        <v>65</v>
      </c>
      <c r="B20" s="22"/>
      <c r="C20" s="22"/>
      <c r="D20" s="8" t="n">
        <f aca="false">SUMIF($A$4:$A$16,A20,$D$4:$D$16)</f>
        <v>30</v>
      </c>
    </row>
    <row r="21" customFormat="false" ht="15" hidden="false" customHeight="false" outlineLevel="0" collapsed="false">
      <c r="A21" s="21" t="s">
        <v>75</v>
      </c>
      <c r="B21" s="22"/>
      <c r="C21" s="22"/>
      <c r="D21" s="8" t="n">
        <f aca="false">SUMIF($A$4:$A$16,A21,$D$4:$D$16)</f>
        <v>35</v>
      </c>
    </row>
    <row r="22" customFormat="false" ht="15" hidden="false" customHeight="false" outlineLevel="0" collapsed="false">
      <c r="A22" s="21" t="s">
        <v>88</v>
      </c>
      <c r="B22" s="22"/>
      <c r="C22" s="22"/>
      <c r="D22" s="8" t="n">
        <f aca="false">SUMIF($A$4:$A$16,A22,$D$4:$D$16)</f>
        <v>20</v>
      </c>
    </row>
    <row r="23" customFormat="false" ht="15" hidden="false" customHeight="false" outlineLevel="0" collapsed="false">
      <c r="A23" s="21" t="s">
        <v>98</v>
      </c>
      <c r="B23" s="22"/>
      <c r="C23" s="22"/>
      <c r="D23" s="8" t="n">
        <f aca="false">SUMIF($A$4:$A$16,A23,$D$4:$D$16)</f>
        <v>15</v>
      </c>
    </row>
    <row r="25" customFormat="false" ht="15" hidden="false" customHeight="false" outlineLevel="0" collapsed="false">
      <c r="A25" s="4" t="s">
        <v>110</v>
      </c>
      <c r="B25" s="4" t="s">
        <v>25</v>
      </c>
      <c r="C25" s="4" t="s">
        <v>111</v>
      </c>
    </row>
    <row r="26" customFormat="false" ht="15" hidden="false" customHeight="false" outlineLevel="0" collapsed="false">
      <c r="A26" s="10" t="n">
        <v>90</v>
      </c>
      <c r="B26" s="12" t="s">
        <v>112</v>
      </c>
      <c r="C26" s="12" t="s">
        <v>113</v>
      </c>
    </row>
    <row r="27" customFormat="false" ht="15" hidden="false" customHeight="false" outlineLevel="0" collapsed="false">
      <c r="A27" s="10" t="n">
        <v>80</v>
      </c>
      <c r="B27" s="12" t="s">
        <v>114</v>
      </c>
      <c r="C27" s="12" t="s">
        <v>115</v>
      </c>
    </row>
    <row r="28" customFormat="false" ht="15" hidden="false" customHeight="false" outlineLevel="0" collapsed="false">
      <c r="A28" s="10" t="n">
        <v>70</v>
      </c>
      <c r="B28" s="12" t="s">
        <v>116</v>
      </c>
      <c r="C28" s="12" t="s">
        <v>117</v>
      </c>
    </row>
    <row r="29" customFormat="false" ht="15" hidden="false" customHeight="false" outlineLevel="0" collapsed="false">
      <c r="A29" s="10" t="n">
        <v>60</v>
      </c>
      <c r="B29" s="12" t="s">
        <v>118</v>
      </c>
      <c r="C29" s="12" t="s">
        <v>119</v>
      </c>
    </row>
    <row r="30" customFormat="false" ht="29.85" hidden="false" customHeight="false" outlineLevel="0" collapsed="false">
      <c r="A30" s="10" t="n">
        <v>0</v>
      </c>
      <c r="B30" s="12" t="s">
        <v>120</v>
      </c>
      <c r="C30" s="12" t="s">
        <v>121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0"/>
    <col collapsed="false" customWidth="true" hidden="false" outlineLevel="0" max="3" min="3" style="0" width="14"/>
    <col collapsed="false" customWidth="true" hidden="false" outlineLevel="0" max="5" min="4" style="0" width="10"/>
    <col collapsed="false" customWidth="true" hidden="false" outlineLevel="0" max="6" min="6" style="0" width="16"/>
  </cols>
  <sheetData>
    <row r="1" customFormat="false" ht="17.35" hidden="false" customHeight="false" outlineLevel="0" collapsed="false">
      <c r="A1" s="1" t="s">
        <v>122</v>
      </c>
    </row>
    <row r="2" customFormat="false" ht="15" hidden="false" customHeight="false" outlineLevel="0" collapsed="false">
      <c r="A2" s="2" t="s">
        <v>123</v>
      </c>
    </row>
    <row r="4" customFormat="false" ht="15" hidden="false" customHeight="false" outlineLevel="0" collapsed="false">
      <c r="A4" s="4" t="s">
        <v>60</v>
      </c>
      <c r="B4" s="4" t="s">
        <v>124</v>
      </c>
      <c r="C4" s="4" t="s">
        <v>125</v>
      </c>
    </row>
    <row r="5" customFormat="false" ht="15" hidden="false" customHeight="false" outlineLevel="0" collapsed="false">
      <c r="A5" s="21" t="s">
        <v>65</v>
      </c>
      <c r="B5" s="10" t="n">
        <v>30</v>
      </c>
      <c r="C5" s="23" t="s">
        <v>126</v>
      </c>
    </row>
    <row r="6" customFormat="false" ht="15" hidden="false" customHeight="false" outlineLevel="0" collapsed="false">
      <c r="A6" s="21" t="s">
        <v>75</v>
      </c>
      <c r="B6" s="10" t="n">
        <v>35</v>
      </c>
      <c r="C6" s="23"/>
    </row>
    <row r="7" customFormat="false" ht="15" hidden="false" customHeight="false" outlineLevel="0" collapsed="false">
      <c r="A7" s="21" t="s">
        <v>88</v>
      </c>
      <c r="B7" s="10" t="n">
        <v>20</v>
      </c>
      <c r="C7" s="23"/>
    </row>
    <row r="8" customFormat="false" ht="15" hidden="false" customHeight="false" outlineLevel="0" collapsed="false">
      <c r="A8" s="21" t="s">
        <v>98</v>
      </c>
      <c r="B8" s="10" t="n">
        <v>15</v>
      </c>
      <c r="C8" s="23"/>
    </row>
    <row r="9" customFormat="false" ht="15" hidden="false" customHeight="false" outlineLevel="0" collapsed="false">
      <c r="A9" s="18" t="s">
        <v>108</v>
      </c>
      <c r="B9" s="19" t="n">
        <f aca="false">SUM(B5:B8)</f>
        <v>100</v>
      </c>
      <c r="C9" s="20" t="str">
        <f aca="false">IF(B9=100,"OK：合计 100","注意：权重合计应为 100")</f>
        <v>OK：合计 100</v>
      </c>
    </row>
    <row r="11" customFormat="false" ht="15" hidden="false" customHeight="false" outlineLevel="0" collapsed="false">
      <c r="A11" s="4" t="s">
        <v>127</v>
      </c>
      <c r="B11" s="4" t="s">
        <v>8</v>
      </c>
      <c r="C11" s="4" t="s">
        <v>128</v>
      </c>
      <c r="D11" s="4" t="s">
        <v>129</v>
      </c>
      <c r="E11" s="4" t="s">
        <v>130</v>
      </c>
      <c r="F11" s="4" t="s">
        <v>131</v>
      </c>
    </row>
    <row r="12" customFormat="false" ht="15" hidden="false" customHeight="false" outlineLevel="0" collapsed="false">
      <c r="A12" s="24" t="n">
        <f aca="false">评分结果!A6</f>
        <v>1</v>
      </c>
      <c r="B12" s="25" t="str">
        <f aca="false">评分结果!B6</f>
        <v>Sonnet5_5_Max-thinking</v>
      </c>
      <c r="C12" s="24" t="n">
        <f aca="false">评分结果!T6</f>
        <v>88</v>
      </c>
      <c r="D12" s="26" t="n">
        <f aca="false">ROUND(评分结果!P6/评分结果!P$5*$B$5+评分结果!Q6/评分结果!Q$5*$B$6+评分结果!R6/评分结果!R$5*$B$7+评分结果!S6/评分结果!S$5*$B$8,1)</f>
        <v>88</v>
      </c>
      <c r="E12" s="8" t="n">
        <f aca="false">RANK(D12,$D$12:$D$26,0)</f>
        <v>1</v>
      </c>
      <c r="F12" s="8" t="n">
        <f aca="false">A12-E12</f>
        <v>0</v>
      </c>
    </row>
    <row r="13" customFormat="false" ht="15" hidden="false" customHeight="false" outlineLevel="0" collapsed="false">
      <c r="A13" s="24" t="n">
        <f aca="false">评分结果!A7</f>
        <v>2</v>
      </c>
      <c r="B13" s="25" t="str">
        <f aca="false">评分结果!B7</f>
        <v>M3_1-Flash-Preview-Max</v>
      </c>
      <c r="C13" s="24" t="n">
        <f aca="false">评分结果!T7</f>
        <v>87</v>
      </c>
      <c r="D13" s="26" t="n">
        <f aca="false">ROUND(评分结果!P7/评分结果!P$5*$B$5+评分结果!Q7/评分结果!Q$5*$B$6+评分结果!R7/评分结果!R$5*$B$7+评分结果!S7/评分结果!S$5*$B$8,1)</f>
        <v>87</v>
      </c>
      <c r="E13" s="8" t="n">
        <f aca="false">RANK(D13,$D$12:$D$26,0)</f>
        <v>2</v>
      </c>
      <c r="F13" s="8" t="n">
        <f aca="false">A13-E13</f>
        <v>0</v>
      </c>
    </row>
    <row r="14" customFormat="false" ht="15" hidden="false" customHeight="false" outlineLevel="0" collapsed="false">
      <c r="A14" s="24" t="n">
        <f aca="false">评分结果!A8</f>
        <v>2</v>
      </c>
      <c r="B14" s="25" t="str">
        <f aca="false">评分结果!B8</f>
        <v>DeepSeek-V4_1-Flash最大</v>
      </c>
      <c r="C14" s="24" t="n">
        <f aca="false">评分结果!T8</f>
        <v>87</v>
      </c>
      <c r="D14" s="26" t="n">
        <f aca="false">ROUND(评分结果!P8/评分结果!P$5*$B$5+评分结果!Q8/评分结果!Q$5*$B$6+评分结果!R8/评分结果!R$5*$B$7+评分结果!S8/评分结果!S$5*$B$8,1)</f>
        <v>87</v>
      </c>
      <c r="E14" s="8" t="n">
        <f aca="false">RANK(D14,$D$12:$D$26,0)</f>
        <v>2</v>
      </c>
      <c r="F14" s="8" t="n">
        <f aca="false">A14-E14</f>
        <v>0</v>
      </c>
    </row>
    <row r="15" customFormat="false" ht="15" hidden="false" customHeight="false" outlineLevel="0" collapsed="false">
      <c r="A15" s="24" t="n">
        <f aca="false">评分结果!A9</f>
        <v>4</v>
      </c>
      <c r="B15" s="25" t="str">
        <f aca="false">评分结果!B9</f>
        <v>Step-5-Preview高</v>
      </c>
      <c r="C15" s="24" t="n">
        <f aca="false">评分结果!T9</f>
        <v>86</v>
      </c>
      <c r="D15" s="26" t="n">
        <f aca="false">ROUND(评分结果!P9/评分结果!P$5*$B$5+评分结果!Q9/评分结果!Q$5*$B$6+评分结果!R9/评分结果!R$5*$B$7+评分结果!S9/评分结果!S$5*$B$8,1)</f>
        <v>86</v>
      </c>
      <c r="E15" s="8" t="n">
        <f aca="false">RANK(D15,$D$12:$D$26,0)</f>
        <v>4</v>
      </c>
      <c r="F15" s="8" t="n">
        <f aca="false">A15-E15</f>
        <v>0</v>
      </c>
    </row>
    <row r="16" customFormat="false" ht="15" hidden="false" customHeight="false" outlineLevel="0" collapsed="false">
      <c r="A16" s="24" t="n">
        <f aca="false">评分结果!A10</f>
        <v>4</v>
      </c>
      <c r="B16" s="25" t="str">
        <f aca="false">评分结果!B10</f>
        <v>Seed-2_1-Turbo高</v>
      </c>
      <c r="C16" s="24" t="n">
        <f aca="false">评分结果!T10</f>
        <v>86</v>
      </c>
      <c r="D16" s="26" t="n">
        <f aca="false">ROUND(评分结果!P10/评分结果!P$5*$B$5+评分结果!Q10/评分结果!Q$5*$B$6+评分结果!R10/评分结果!R$5*$B$7+评分结果!S10/评分结果!S$5*$B$8,1)</f>
        <v>86</v>
      </c>
      <c r="E16" s="8" t="n">
        <f aca="false">RANK(D16,$D$12:$D$26,0)</f>
        <v>4</v>
      </c>
      <c r="F16" s="8" t="n">
        <f aca="false">A16-E16</f>
        <v>0</v>
      </c>
    </row>
    <row r="17" customFormat="false" ht="15" hidden="false" customHeight="false" outlineLevel="0" collapsed="false">
      <c r="A17" s="24" t="n">
        <f aca="false">评分结果!A11</f>
        <v>4</v>
      </c>
      <c r="B17" s="25" t="str">
        <f aca="false">评分结果!B11</f>
        <v>Sonnet5_5_Extra_1</v>
      </c>
      <c r="C17" s="24" t="n">
        <f aca="false">评分结果!T11</f>
        <v>86</v>
      </c>
      <c r="D17" s="26" t="n">
        <f aca="false">ROUND(评分结果!P11/评分结果!P$5*$B$5+评分结果!Q11/评分结果!Q$5*$B$6+评分结果!R11/评分结果!R$5*$B$7+评分结果!S11/评分结果!S$5*$B$8,1)</f>
        <v>86</v>
      </c>
      <c r="E17" s="8" t="n">
        <f aca="false">RANK(D17,$D$12:$D$26,0)</f>
        <v>4</v>
      </c>
      <c r="F17" s="8" t="n">
        <f aca="false">A17-E17</f>
        <v>0</v>
      </c>
    </row>
    <row r="18" customFormat="false" ht="15" hidden="false" customHeight="false" outlineLevel="0" collapsed="false">
      <c r="A18" s="24" t="n">
        <f aca="false">评分结果!A12</f>
        <v>7</v>
      </c>
      <c r="B18" s="25" t="str">
        <f aca="false">评分结果!B12</f>
        <v>DeepSeek_V4_1_Flash_Ultra</v>
      </c>
      <c r="C18" s="24" t="n">
        <f aca="false">评分结果!T12</f>
        <v>84</v>
      </c>
      <c r="D18" s="26" t="n">
        <f aca="false">ROUND(评分结果!P12/评分结果!P$5*$B$5+评分结果!Q12/评分结果!Q$5*$B$6+评分结果!R12/评分结果!R$5*$B$7+评分结果!S12/评分结果!S$5*$B$8,1)</f>
        <v>84</v>
      </c>
      <c r="E18" s="8" t="n">
        <f aca="false">RANK(D18,$D$12:$D$26,0)</f>
        <v>7</v>
      </c>
      <c r="F18" s="8" t="n">
        <f aca="false">A18-E18</f>
        <v>0</v>
      </c>
    </row>
    <row r="19" customFormat="false" ht="15" hidden="false" customHeight="false" outlineLevel="0" collapsed="false">
      <c r="A19" s="24" t="n">
        <f aca="false">评分结果!A13</f>
        <v>8</v>
      </c>
      <c r="B19" s="25" t="str">
        <f aca="false">评分结果!B13</f>
        <v>Seed-Code-高</v>
      </c>
      <c r="C19" s="24" t="n">
        <f aca="false">评分结果!T13</f>
        <v>82</v>
      </c>
      <c r="D19" s="26" t="n">
        <f aca="false">ROUND(评分结果!P13/评分结果!P$5*$B$5+评分结果!Q13/评分结果!Q$5*$B$6+评分结果!R13/评分结果!R$5*$B$7+评分结果!S13/评分结果!S$5*$B$8,1)</f>
        <v>82</v>
      </c>
      <c r="E19" s="8" t="n">
        <f aca="false">RANK(D19,$D$12:$D$26,0)</f>
        <v>8</v>
      </c>
      <c r="F19" s="8" t="n">
        <f aca="false">A19-E19</f>
        <v>0</v>
      </c>
    </row>
    <row r="20" customFormat="false" ht="15" hidden="false" customHeight="false" outlineLevel="0" collapsed="false">
      <c r="A20" s="24" t="n">
        <f aca="false">评分结果!A14</f>
        <v>9</v>
      </c>
      <c r="B20" s="25" t="str">
        <f aca="false">评分结果!B14</f>
        <v>DeepSeek_V4_1_Flash极高</v>
      </c>
      <c r="C20" s="24" t="n">
        <f aca="false">评分结果!T14</f>
        <v>81</v>
      </c>
      <c r="D20" s="26" t="n">
        <f aca="false">ROUND(评分结果!P14/评分结果!P$5*$B$5+评分结果!Q14/评分结果!Q$5*$B$6+评分结果!R14/评分结果!R$5*$B$7+评分结果!S14/评分结果!S$5*$B$8,1)</f>
        <v>81</v>
      </c>
      <c r="E20" s="8" t="n">
        <f aca="false">RANK(D20,$D$12:$D$26,0)</f>
        <v>9</v>
      </c>
      <c r="F20" s="8" t="n">
        <f aca="false">A20-E20</f>
        <v>0</v>
      </c>
    </row>
    <row r="21" customFormat="false" ht="15" hidden="false" customHeight="false" outlineLevel="0" collapsed="false">
      <c r="A21" s="24" t="n">
        <f aca="false">评分结果!A15</f>
        <v>10</v>
      </c>
      <c r="B21" s="25" t="str">
        <f aca="false">评分结果!B15</f>
        <v>MiniMax-M3默认</v>
      </c>
      <c r="C21" s="24" t="n">
        <f aca="false">评分结果!T15</f>
        <v>78</v>
      </c>
      <c r="D21" s="26" t="n">
        <f aca="false">ROUND(评分结果!P15/评分结果!P$5*$B$5+评分结果!Q15/评分结果!Q$5*$B$6+评分结果!R15/评分结果!R$5*$B$7+评分结果!S15/评分结果!S$5*$B$8,1)</f>
        <v>78</v>
      </c>
      <c r="E21" s="8" t="n">
        <f aca="false">RANK(D21,$D$12:$D$26,0)</f>
        <v>10</v>
      </c>
      <c r="F21" s="8" t="n">
        <f aca="false">A21-E21</f>
        <v>0</v>
      </c>
    </row>
    <row r="22" customFormat="false" ht="15" hidden="false" customHeight="false" outlineLevel="0" collapsed="false">
      <c r="A22" s="24" t="n">
        <f aca="false">评分结果!A16</f>
        <v>11</v>
      </c>
      <c r="B22" s="25" t="str">
        <f aca="false">评分结果!B16</f>
        <v>M3-默认</v>
      </c>
      <c r="C22" s="24" t="n">
        <f aca="false">评分结果!T16</f>
        <v>76</v>
      </c>
      <c r="D22" s="26" t="n">
        <f aca="false">ROUND(评分结果!P16/评分结果!P$5*$B$5+评分结果!Q16/评分结果!Q$5*$B$6+评分结果!R16/评分结果!R$5*$B$7+评分结果!S16/评分结果!S$5*$B$8,1)</f>
        <v>76</v>
      </c>
      <c r="E22" s="8" t="n">
        <f aca="false">RANK(D22,$D$12:$D$26,0)</f>
        <v>11</v>
      </c>
      <c r="F22" s="8" t="n">
        <f aca="false">A22-E22</f>
        <v>0</v>
      </c>
    </row>
    <row r="23" customFormat="false" ht="15" hidden="false" customHeight="false" outlineLevel="0" collapsed="false">
      <c r="A23" s="24" t="n">
        <f aca="false">评分结果!A17</f>
        <v>12</v>
      </c>
      <c r="B23" s="25" t="str">
        <f aca="false">评分结果!B17</f>
        <v>DeepSeek_V4_Pro_Ultra_2</v>
      </c>
      <c r="C23" s="24" t="n">
        <f aca="false">评分结果!T17</f>
        <v>67</v>
      </c>
      <c r="D23" s="26" t="n">
        <f aca="false">ROUND(评分结果!P17/评分结果!P$5*$B$5+评分结果!Q17/评分结果!Q$5*$B$6+评分结果!R17/评分结果!R$5*$B$7+评分结果!S17/评分结果!S$5*$B$8,1)</f>
        <v>67</v>
      </c>
      <c r="E23" s="8" t="n">
        <f aca="false">RANK(D23,$D$12:$D$26,0)</f>
        <v>12</v>
      </c>
      <c r="F23" s="8" t="n">
        <f aca="false">A23-E23</f>
        <v>0</v>
      </c>
    </row>
    <row r="24" customFormat="false" ht="15" hidden="false" customHeight="false" outlineLevel="0" collapsed="false">
      <c r="A24" s="24" t="n">
        <f aca="false">评分结果!A18</f>
        <v>13</v>
      </c>
      <c r="B24" s="25" t="str">
        <f aca="false">评分结果!B18</f>
        <v>GLM-5_3-FlashX-Max</v>
      </c>
      <c r="C24" s="24" t="n">
        <f aca="false">评分结果!T18</f>
        <v>63</v>
      </c>
      <c r="D24" s="26" t="n">
        <f aca="false">ROUND(评分结果!P18/评分结果!P$5*$B$5+评分结果!Q18/评分结果!Q$5*$B$6+评分结果!R18/评分结果!R$5*$B$7+评分结果!S18/评分结果!S$5*$B$8,1)</f>
        <v>63</v>
      </c>
      <c r="E24" s="8" t="n">
        <f aca="false">RANK(D24,$D$12:$D$26,0)</f>
        <v>13</v>
      </c>
      <c r="F24" s="8" t="n">
        <f aca="false">A24-E24</f>
        <v>0</v>
      </c>
    </row>
    <row r="25" customFormat="false" ht="15" hidden="false" customHeight="false" outlineLevel="0" collapsed="false">
      <c r="A25" s="24" t="n">
        <f aca="false">评分结果!A19</f>
        <v>14</v>
      </c>
      <c r="B25" s="25" t="str">
        <f aca="false">评分结果!B19</f>
        <v>DeepSeek_V4_Pro_Ultra</v>
      </c>
      <c r="C25" s="24" t="n">
        <f aca="false">评分结果!T19</f>
        <v>62</v>
      </c>
      <c r="D25" s="26" t="n">
        <f aca="false">ROUND(评分结果!P19/评分结果!P$5*$B$5+评分结果!Q19/评分结果!Q$5*$B$6+评分结果!R19/评分结果!R$5*$B$7+评分结果!S19/评分结果!S$5*$B$8,1)</f>
        <v>62</v>
      </c>
      <c r="E25" s="8" t="n">
        <f aca="false">RANK(D25,$D$12:$D$26,0)</f>
        <v>14</v>
      </c>
      <c r="F25" s="8" t="n">
        <f aca="false">A25-E25</f>
        <v>0</v>
      </c>
    </row>
    <row r="26" customFormat="false" ht="15" hidden="false" customHeight="false" outlineLevel="0" collapsed="false">
      <c r="A26" s="24" t="n">
        <f aca="false">评分结果!A20</f>
        <v>15</v>
      </c>
      <c r="B26" s="25" t="str">
        <f aca="false">评分结果!B20</f>
        <v>DeepSeek_V4_Pro_极高</v>
      </c>
      <c r="C26" s="24" t="n">
        <f aca="false">评分结果!T20</f>
        <v>59</v>
      </c>
      <c r="D26" s="26" t="n">
        <f aca="false">ROUND(评分结果!P20/评分结果!P$5*$B$5+评分结果!Q20/评分结果!Q$5*$B$6+评分结果!R20/评分结果!R$5*$B$7+评分结果!S20/评分结果!S$5*$B$8,1)</f>
        <v>59</v>
      </c>
      <c r="E26" s="8" t="n">
        <f aca="false">RANK(D26,$D$12:$D$26,0)</f>
        <v>15</v>
      </c>
      <c r="F26" s="8" t="n">
        <f aca="false">A26-E26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4"/>
    <col collapsed="false" customWidth="true" hidden="false" outlineLevel="0" max="3" min="3" style="0" width="16"/>
    <col collapsed="false" customWidth="true" hidden="false" outlineLevel="0" max="4" min="4" style="0" width="14"/>
    <col collapsed="false" customWidth="true" hidden="false" outlineLevel="0" max="5" min="5" style="0" width="8"/>
    <col collapsed="false" customWidth="true" hidden="false" outlineLevel="0" max="6" min="6" style="0" width="11"/>
    <col collapsed="false" customWidth="true" hidden="false" outlineLevel="0" max="7" min="7" style="0" width="13"/>
    <col collapsed="false" customWidth="true" hidden="false" outlineLevel="0" max="9" min="8" style="0" width="10"/>
  </cols>
  <sheetData>
    <row r="1" customFormat="false" ht="17.35" hidden="false" customHeight="false" outlineLevel="0" collapsed="false">
      <c r="A1" s="1" t="s">
        <v>132</v>
      </c>
    </row>
    <row r="2" customFormat="false" ht="39.75" hidden="false" customHeight="true" outlineLevel="0" collapsed="false">
      <c r="A2" s="27" t="s">
        <v>133</v>
      </c>
      <c r="B2" s="27"/>
      <c r="C2" s="27"/>
      <c r="D2" s="27"/>
      <c r="E2" s="27"/>
      <c r="F2" s="27"/>
      <c r="G2" s="27"/>
      <c r="H2" s="27"/>
      <c r="I2" s="27"/>
    </row>
    <row r="4" customFormat="false" ht="30" hidden="false" customHeight="true" outlineLevel="0" collapsed="false">
      <c r="A4" s="4" t="s">
        <v>8</v>
      </c>
      <c r="B4" s="4" t="s">
        <v>134</v>
      </c>
      <c r="C4" s="4" t="s">
        <v>135</v>
      </c>
      <c r="D4" s="4" t="s">
        <v>136</v>
      </c>
      <c r="E4" s="4" t="s">
        <v>24</v>
      </c>
      <c r="F4" s="4" t="s">
        <v>137</v>
      </c>
      <c r="G4" s="4" t="s">
        <v>138</v>
      </c>
      <c r="H4" s="4" t="s">
        <v>139</v>
      </c>
      <c r="I4" s="4" t="s">
        <v>140</v>
      </c>
    </row>
    <row r="5" customFormat="false" ht="15" hidden="false" customHeight="false" outlineLevel="0" collapsed="false">
      <c r="A5" s="25" t="str">
        <f aca="false">评分结果!B6</f>
        <v>Sonnet5_5_Max-thinking</v>
      </c>
      <c r="B5" s="28" t="n">
        <v>67378</v>
      </c>
      <c r="C5" s="29" t="n">
        <v>16.21</v>
      </c>
      <c r="D5" s="24" t="n">
        <f aca="false">SUM(评分结果!F6:H6)</f>
        <v>27</v>
      </c>
      <c r="E5" s="24" t="n">
        <f aca="false">评分结果!T6</f>
        <v>88</v>
      </c>
      <c r="F5" s="30" t="n">
        <f aca="false">COUNTIF(D$5:D$19,"&lt;"&amp;D5)+(COUNTIF(D$5:D$19,D5)+1)/2</f>
        <v>13.5</v>
      </c>
      <c r="G5" s="30" t="n">
        <f aca="false">COUNTIF(C$5:C$19,"&lt;"&amp;C5)+(COUNTIF(C$5:C$19,C5)+1)/2</f>
        <v>14</v>
      </c>
      <c r="H5" s="30" t="n">
        <f aca="false">COUNTIF(E$5:E$19,"&lt;"&amp;E5)+(COUNTIF(E$5:E$19,E5)+1)/2</f>
        <v>15</v>
      </c>
      <c r="I5" s="30" t="n">
        <f aca="false">COUNTIF(B$5:B$19,"&lt;"&amp;B5)+(COUNTIF(B$5:B$19,B5)+1)/2</f>
        <v>15</v>
      </c>
    </row>
    <row r="6" customFormat="false" ht="15" hidden="false" customHeight="false" outlineLevel="0" collapsed="false">
      <c r="A6" s="25" t="str">
        <f aca="false">评分结果!B7</f>
        <v>M3_1-Flash-Preview-Max</v>
      </c>
      <c r="B6" s="28" t="n">
        <v>26601</v>
      </c>
      <c r="C6" s="29" t="n">
        <v>13.94</v>
      </c>
      <c r="D6" s="24" t="n">
        <f aca="false">SUM(评分结果!F7:H7)</f>
        <v>27</v>
      </c>
      <c r="E6" s="24" t="n">
        <f aca="false">评分结果!T7</f>
        <v>87</v>
      </c>
      <c r="F6" s="30" t="n">
        <f aca="false">COUNTIF(D$5:D$19,"&lt;"&amp;D6)+(COUNTIF(D$5:D$19,D6)+1)/2</f>
        <v>13.5</v>
      </c>
      <c r="G6" s="30" t="n">
        <f aca="false">COUNTIF(C$5:C$19,"&lt;"&amp;C6)+(COUNTIF(C$5:C$19,C6)+1)/2</f>
        <v>12</v>
      </c>
      <c r="H6" s="30" t="n">
        <f aca="false">COUNTIF(E$5:E$19,"&lt;"&amp;E6)+(COUNTIF(E$5:E$19,E6)+1)/2</f>
        <v>13.5</v>
      </c>
      <c r="I6" s="30" t="n">
        <f aca="false">COUNTIF(B$5:B$19,"&lt;"&amp;B6)+(COUNTIF(B$5:B$19,B6)+1)/2</f>
        <v>8</v>
      </c>
    </row>
    <row r="7" customFormat="false" ht="15" hidden="false" customHeight="false" outlineLevel="0" collapsed="false">
      <c r="A7" s="25" t="str">
        <f aca="false">评分结果!B8</f>
        <v>DeepSeek-V4_1-Flash最大</v>
      </c>
      <c r="B7" s="28" t="n">
        <v>26483</v>
      </c>
      <c r="C7" s="29" t="n">
        <v>12.31</v>
      </c>
      <c r="D7" s="24" t="n">
        <f aca="false">SUM(评分结果!F8:H8)</f>
        <v>26</v>
      </c>
      <c r="E7" s="24" t="n">
        <f aca="false">评分结果!T8</f>
        <v>87</v>
      </c>
      <c r="F7" s="30" t="n">
        <f aca="false">COUNTIF(D$5:D$19,"&lt;"&amp;D7)+(COUNTIF(D$5:D$19,D7)+1)/2</f>
        <v>10</v>
      </c>
      <c r="G7" s="30" t="n">
        <f aca="false">COUNTIF(C$5:C$19,"&lt;"&amp;C7)+(COUNTIF(C$5:C$19,C7)+1)/2</f>
        <v>9</v>
      </c>
      <c r="H7" s="30" t="n">
        <f aca="false">COUNTIF(E$5:E$19,"&lt;"&amp;E7)+(COUNTIF(E$5:E$19,E7)+1)/2</f>
        <v>13.5</v>
      </c>
      <c r="I7" s="30" t="n">
        <f aca="false">COUNTIF(B$5:B$19,"&lt;"&amp;B7)+(COUNTIF(B$5:B$19,B7)+1)/2</f>
        <v>7</v>
      </c>
    </row>
    <row r="8" customFormat="false" ht="15" hidden="false" customHeight="false" outlineLevel="0" collapsed="false">
      <c r="A8" s="25" t="str">
        <f aca="false">评分结果!B9</f>
        <v>Step-5-Preview高</v>
      </c>
      <c r="B8" s="28" t="n">
        <v>49878</v>
      </c>
      <c r="C8" s="29" t="n">
        <v>15.83</v>
      </c>
      <c r="D8" s="24" t="n">
        <f aca="false">SUM(评分结果!F9:H9)</f>
        <v>26</v>
      </c>
      <c r="E8" s="24" t="n">
        <f aca="false">评分结果!T9</f>
        <v>86</v>
      </c>
      <c r="F8" s="30" t="n">
        <f aca="false">COUNTIF(D$5:D$19,"&lt;"&amp;D8)+(COUNTIF(D$5:D$19,D8)+1)/2</f>
        <v>10</v>
      </c>
      <c r="G8" s="30" t="n">
        <f aca="false">COUNTIF(C$5:C$19,"&lt;"&amp;C8)+(COUNTIF(C$5:C$19,C8)+1)/2</f>
        <v>13</v>
      </c>
      <c r="H8" s="30" t="n">
        <f aca="false">COUNTIF(E$5:E$19,"&lt;"&amp;E8)+(COUNTIF(E$5:E$19,E8)+1)/2</f>
        <v>11</v>
      </c>
      <c r="I8" s="30" t="n">
        <f aca="false">COUNTIF(B$5:B$19,"&lt;"&amp;B8)+(COUNTIF(B$5:B$19,B8)+1)/2</f>
        <v>14</v>
      </c>
    </row>
    <row r="9" customFormat="false" ht="15" hidden="false" customHeight="false" outlineLevel="0" collapsed="false">
      <c r="A9" s="25" t="str">
        <f aca="false">评分结果!B10</f>
        <v>Seed-2_1-Turbo高</v>
      </c>
      <c r="B9" s="28" t="n">
        <v>27819</v>
      </c>
      <c r="C9" s="29" t="n">
        <v>12.41</v>
      </c>
      <c r="D9" s="24" t="n">
        <f aca="false">SUM(评分结果!F10:H10)</f>
        <v>26</v>
      </c>
      <c r="E9" s="24" t="n">
        <f aca="false">评分结果!T10</f>
        <v>86</v>
      </c>
      <c r="F9" s="30" t="n">
        <f aca="false">COUNTIF(D$5:D$19,"&lt;"&amp;D9)+(COUNTIF(D$5:D$19,D9)+1)/2</f>
        <v>10</v>
      </c>
      <c r="G9" s="30" t="n">
        <f aca="false">COUNTIF(C$5:C$19,"&lt;"&amp;C9)+(COUNTIF(C$5:C$19,C9)+1)/2</f>
        <v>11</v>
      </c>
      <c r="H9" s="30" t="n">
        <f aca="false">COUNTIF(E$5:E$19,"&lt;"&amp;E9)+(COUNTIF(E$5:E$19,E9)+1)/2</f>
        <v>11</v>
      </c>
      <c r="I9" s="30" t="n">
        <f aca="false">COUNTIF(B$5:B$19,"&lt;"&amp;B9)+(COUNTIF(B$5:B$19,B9)+1)/2</f>
        <v>9</v>
      </c>
    </row>
    <row r="10" customFormat="false" ht="15" hidden="false" customHeight="false" outlineLevel="0" collapsed="false">
      <c r="A10" s="25" t="str">
        <f aca="false">评分结果!B11</f>
        <v>Sonnet5_5_Extra_1</v>
      </c>
      <c r="B10" s="28" t="n">
        <v>34554</v>
      </c>
      <c r="C10" s="29" t="n">
        <v>17.68</v>
      </c>
      <c r="D10" s="24" t="n">
        <f aca="false">SUM(评分结果!F11:H11)</f>
        <v>28</v>
      </c>
      <c r="E10" s="24" t="n">
        <f aca="false">评分结果!T11</f>
        <v>86</v>
      </c>
      <c r="F10" s="30" t="n">
        <f aca="false">COUNTIF(D$5:D$19,"&lt;"&amp;D10)+(COUNTIF(D$5:D$19,D10)+1)/2</f>
        <v>15</v>
      </c>
      <c r="G10" s="30" t="n">
        <f aca="false">COUNTIF(C$5:C$19,"&lt;"&amp;C10)+(COUNTIF(C$5:C$19,C10)+1)/2</f>
        <v>15</v>
      </c>
      <c r="H10" s="30" t="n">
        <f aca="false">COUNTIF(E$5:E$19,"&lt;"&amp;E10)+(COUNTIF(E$5:E$19,E10)+1)/2</f>
        <v>11</v>
      </c>
      <c r="I10" s="30" t="n">
        <f aca="false">COUNTIF(B$5:B$19,"&lt;"&amp;B10)+(COUNTIF(B$5:B$19,B10)+1)/2</f>
        <v>11</v>
      </c>
    </row>
    <row r="11" customFormat="false" ht="15" hidden="false" customHeight="false" outlineLevel="0" collapsed="false">
      <c r="A11" s="25" t="str">
        <f aca="false">评分结果!B12</f>
        <v>DeepSeek_V4_1_Flash_Ultra</v>
      </c>
      <c r="B11" s="28" t="n">
        <v>42827</v>
      </c>
      <c r="C11" s="29" t="n">
        <v>8.22</v>
      </c>
      <c r="D11" s="24" t="n">
        <f aca="false">SUM(评分结果!F12:H12)</f>
        <v>25</v>
      </c>
      <c r="E11" s="24" t="n">
        <f aca="false">评分结果!T12</f>
        <v>84</v>
      </c>
      <c r="F11" s="30" t="n">
        <f aca="false">COUNTIF(D$5:D$19,"&lt;"&amp;D11)+(COUNTIF(D$5:D$19,D11)+1)/2</f>
        <v>7</v>
      </c>
      <c r="G11" s="30" t="n">
        <f aca="false">COUNTIF(C$5:C$19,"&lt;"&amp;C11)+(COUNTIF(C$5:C$19,C11)+1)/2</f>
        <v>5</v>
      </c>
      <c r="H11" s="30" t="n">
        <f aca="false">COUNTIF(E$5:E$19,"&lt;"&amp;E11)+(COUNTIF(E$5:E$19,E11)+1)/2</f>
        <v>9</v>
      </c>
      <c r="I11" s="30" t="n">
        <f aca="false">COUNTIF(B$5:B$19,"&lt;"&amp;B11)+(COUNTIF(B$5:B$19,B11)+1)/2</f>
        <v>13</v>
      </c>
    </row>
    <row r="12" customFormat="false" ht="15" hidden="false" customHeight="false" outlineLevel="0" collapsed="false">
      <c r="A12" s="25" t="str">
        <f aca="false">评分结果!B13</f>
        <v>Seed-Code-高</v>
      </c>
      <c r="B12" s="28" t="n">
        <v>31402</v>
      </c>
      <c r="C12" s="29" t="n">
        <v>8.76</v>
      </c>
      <c r="D12" s="24" t="n">
        <f aca="false">SUM(评分结果!F13:H13)</f>
        <v>26</v>
      </c>
      <c r="E12" s="24" t="n">
        <f aca="false">评分结果!T13</f>
        <v>82</v>
      </c>
      <c r="F12" s="30" t="n">
        <f aca="false">COUNTIF(D$5:D$19,"&lt;"&amp;D12)+(COUNTIF(D$5:D$19,D12)+1)/2</f>
        <v>10</v>
      </c>
      <c r="G12" s="30" t="n">
        <f aca="false">COUNTIF(C$5:C$19,"&lt;"&amp;C12)+(COUNTIF(C$5:C$19,C12)+1)/2</f>
        <v>6</v>
      </c>
      <c r="H12" s="30" t="n">
        <f aca="false">COUNTIF(E$5:E$19,"&lt;"&amp;E12)+(COUNTIF(E$5:E$19,E12)+1)/2</f>
        <v>8</v>
      </c>
      <c r="I12" s="30" t="n">
        <f aca="false">COUNTIF(B$5:B$19,"&lt;"&amp;B12)+(COUNTIF(B$5:B$19,B12)+1)/2</f>
        <v>10</v>
      </c>
    </row>
    <row r="13" customFormat="false" ht="15" hidden="false" customHeight="false" outlineLevel="0" collapsed="false">
      <c r="A13" s="25" t="str">
        <f aca="false">评分结果!B14</f>
        <v>DeepSeek_V4_1_Flash极高</v>
      </c>
      <c r="B13" s="28" t="n">
        <v>36489</v>
      </c>
      <c r="C13" s="29" t="n">
        <v>10.91</v>
      </c>
      <c r="D13" s="24" t="n">
        <f aca="false">SUM(评分结果!F14:H14)</f>
        <v>26</v>
      </c>
      <c r="E13" s="24" t="n">
        <f aca="false">评分结果!T14</f>
        <v>81</v>
      </c>
      <c r="F13" s="30" t="n">
        <f aca="false">COUNTIF(D$5:D$19,"&lt;"&amp;D13)+(COUNTIF(D$5:D$19,D13)+1)/2</f>
        <v>10</v>
      </c>
      <c r="G13" s="30" t="n">
        <f aca="false">COUNTIF(C$5:C$19,"&lt;"&amp;C13)+(COUNTIF(C$5:C$19,C13)+1)/2</f>
        <v>8</v>
      </c>
      <c r="H13" s="30" t="n">
        <f aca="false">COUNTIF(E$5:E$19,"&lt;"&amp;E13)+(COUNTIF(E$5:E$19,E13)+1)/2</f>
        <v>7</v>
      </c>
      <c r="I13" s="30" t="n">
        <f aca="false">COUNTIF(B$5:B$19,"&lt;"&amp;B13)+(COUNTIF(B$5:B$19,B13)+1)/2</f>
        <v>12</v>
      </c>
    </row>
    <row r="14" customFormat="false" ht="15" hidden="false" customHeight="false" outlineLevel="0" collapsed="false">
      <c r="A14" s="25" t="str">
        <f aca="false">评分结果!B15</f>
        <v>MiniMax-M3默认</v>
      </c>
      <c r="B14" s="28" t="n">
        <v>20987</v>
      </c>
      <c r="C14" s="29" t="n">
        <v>12.4</v>
      </c>
      <c r="D14" s="24" t="n">
        <f aca="false">SUM(评分结果!F15:H15)</f>
        <v>23</v>
      </c>
      <c r="E14" s="24" t="n">
        <f aca="false">评分结果!T15</f>
        <v>78</v>
      </c>
      <c r="F14" s="30" t="n">
        <f aca="false">COUNTIF(D$5:D$19,"&lt;"&amp;D14)+(COUNTIF(D$5:D$19,D14)+1)/2</f>
        <v>6</v>
      </c>
      <c r="G14" s="30" t="n">
        <f aca="false">COUNTIF(C$5:C$19,"&lt;"&amp;C14)+(COUNTIF(C$5:C$19,C14)+1)/2</f>
        <v>10</v>
      </c>
      <c r="H14" s="30" t="n">
        <f aca="false">COUNTIF(E$5:E$19,"&lt;"&amp;E14)+(COUNTIF(E$5:E$19,E14)+1)/2</f>
        <v>6</v>
      </c>
      <c r="I14" s="30" t="n">
        <f aca="false">COUNTIF(B$5:B$19,"&lt;"&amp;B14)+(COUNTIF(B$5:B$19,B14)+1)/2</f>
        <v>6</v>
      </c>
    </row>
    <row r="15" customFormat="false" ht="15" hidden="false" customHeight="false" outlineLevel="0" collapsed="false">
      <c r="A15" s="25" t="str">
        <f aca="false">评分结果!B16</f>
        <v>M3-默认</v>
      </c>
      <c r="B15" s="28" t="n">
        <v>20821</v>
      </c>
      <c r="C15" s="29" t="n">
        <v>9.64</v>
      </c>
      <c r="D15" s="24" t="n">
        <f aca="false">SUM(评分结果!F16:H16)</f>
        <v>22</v>
      </c>
      <c r="E15" s="24" t="n">
        <f aca="false">评分结果!T16</f>
        <v>76</v>
      </c>
      <c r="F15" s="30" t="n">
        <f aca="false">COUNTIF(D$5:D$19,"&lt;"&amp;D15)+(COUNTIF(D$5:D$19,D15)+1)/2</f>
        <v>5</v>
      </c>
      <c r="G15" s="30" t="n">
        <f aca="false">COUNTIF(C$5:C$19,"&lt;"&amp;C15)+(COUNTIF(C$5:C$19,C15)+1)/2</f>
        <v>7</v>
      </c>
      <c r="H15" s="30" t="n">
        <f aca="false">COUNTIF(E$5:E$19,"&lt;"&amp;E15)+(COUNTIF(E$5:E$19,E15)+1)/2</f>
        <v>5</v>
      </c>
      <c r="I15" s="30" t="n">
        <f aca="false">COUNTIF(B$5:B$19,"&lt;"&amp;B15)+(COUNTIF(B$5:B$19,B15)+1)/2</f>
        <v>5</v>
      </c>
    </row>
    <row r="16" customFormat="false" ht="15" hidden="false" customHeight="false" outlineLevel="0" collapsed="false">
      <c r="A16" s="25" t="str">
        <f aca="false">评分结果!B17</f>
        <v>DeepSeek_V4_Pro_Ultra_2</v>
      </c>
      <c r="B16" s="28" t="n">
        <v>17505</v>
      </c>
      <c r="C16" s="29" t="n">
        <v>6.84</v>
      </c>
      <c r="D16" s="24" t="n">
        <f aca="false">SUM(评分结果!F17:H17)</f>
        <v>19</v>
      </c>
      <c r="E16" s="24" t="n">
        <f aca="false">评分结果!T17</f>
        <v>67</v>
      </c>
      <c r="F16" s="30" t="n">
        <f aca="false">COUNTIF(D$5:D$19,"&lt;"&amp;D16)+(COUNTIF(D$5:D$19,D16)+1)/2</f>
        <v>4</v>
      </c>
      <c r="G16" s="30" t="n">
        <f aca="false">COUNTIF(C$5:C$19,"&lt;"&amp;C16)+(COUNTIF(C$5:C$19,C16)+1)/2</f>
        <v>4</v>
      </c>
      <c r="H16" s="30" t="n">
        <f aca="false">COUNTIF(E$5:E$19,"&lt;"&amp;E16)+(COUNTIF(E$5:E$19,E16)+1)/2</f>
        <v>4</v>
      </c>
      <c r="I16" s="30" t="n">
        <f aca="false">COUNTIF(B$5:B$19,"&lt;"&amp;B16)+(COUNTIF(B$5:B$19,B16)+1)/2</f>
        <v>4</v>
      </c>
    </row>
    <row r="17" customFormat="false" ht="15" hidden="false" customHeight="false" outlineLevel="0" collapsed="false">
      <c r="A17" s="25" t="str">
        <f aca="false">评分结果!B18</f>
        <v>GLM-5_3-FlashX-Max</v>
      </c>
      <c r="B17" s="28" t="n">
        <v>10943</v>
      </c>
      <c r="C17" s="29" t="n">
        <v>3.71</v>
      </c>
      <c r="D17" s="24" t="n">
        <f aca="false">SUM(评分结果!F18:H18)</f>
        <v>18</v>
      </c>
      <c r="E17" s="24" t="n">
        <f aca="false">评分结果!T18</f>
        <v>63</v>
      </c>
      <c r="F17" s="30" t="n">
        <f aca="false">COUNTIF(D$5:D$19,"&lt;"&amp;D17)+(COUNTIF(D$5:D$19,D17)+1)/2</f>
        <v>3</v>
      </c>
      <c r="G17" s="30" t="n">
        <f aca="false">COUNTIF(C$5:C$19,"&lt;"&amp;C17)+(COUNTIF(C$5:C$19,C17)+1)/2</f>
        <v>2</v>
      </c>
      <c r="H17" s="30" t="n">
        <f aca="false">COUNTIF(E$5:E$19,"&lt;"&amp;E17)+(COUNTIF(E$5:E$19,E17)+1)/2</f>
        <v>3</v>
      </c>
      <c r="I17" s="30" t="n">
        <f aca="false">COUNTIF(B$5:B$19,"&lt;"&amp;B17)+(COUNTIF(B$5:B$19,B17)+1)/2</f>
        <v>2</v>
      </c>
    </row>
    <row r="18" customFormat="false" ht="15" hidden="false" customHeight="false" outlineLevel="0" collapsed="false">
      <c r="A18" s="25" t="str">
        <f aca="false">评分结果!B19</f>
        <v>DeepSeek_V4_Pro_Ultra</v>
      </c>
      <c r="B18" s="28" t="n">
        <v>11438</v>
      </c>
      <c r="C18" s="29" t="n">
        <v>4.49</v>
      </c>
      <c r="D18" s="24" t="n">
        <f aca="false">SUM(评分结果!F19:H19)</f>
        <v>17</v>
      </c>
      <c r="E18" s="24" t="n">
        <f aca="false">评分结果!T19</f>
        <v>62</v>
      </c>
      <c r="F18" s="30" t="n">
        <f aca="false">COUNTIF(D$5:D$19,"&lt;"&amp;D18)+(COUNTIF(D$5:D$19,D18)+1)/2</f>
        <v>2</v>
      </c>
      <c r="G18" s="30" t="n">
        <f aca="false">COUNTIF(C$5:C$19,"&lt;"&amp;C18)+(COUNTIF(C$5:C$19,C18)+1)/2</f>
        <v>3</v>
      </c>
      <c r="H18" s="30" t="n">
        <f aca="false">COUNTIF(E$5:E$19,"&lt;"&amp;E18)+(COUNTIF(E$5:E$19,E18)+1)/2</f>
        <v>2</v>
      </c>
      <c r="I18" s="30" t="n">
        <f aca="false">COUNTIF(B$5:B$19,"&lt;"&amp;B18)+(COUNTIF(B$5:B$19,B18)+1)/2</f>
        <v>3</v>
      </c>
    </row>
    <row r="19" customFormat="false" ht="15" hidden="false" customHeight="false" outlineLevel="0" collapsed="false">
      <c r="A19" s="25" t="str">
        <f aca="false">评分结果!B20</f>
        <v>DeepSeek_V4_Pro_极高</v>
      </c>
      <c r="B19" s="28" t="n">
        <v>10828</v>
      </c>
      <c r="C19" s="29" t="n">
        <v>3.33</v>
      </c>
      <c r="D19" s="24" t="n">
        <f aca="false">SUM(评分结果!F20:H20)</f>
        <v>16</v>
      </c>
      <c r="E19" s="24" t="n">
        <f aca="false">评分结果!T20</f>
        <v>59</v>
      </c>
      <c r="F19" s="30" t="n">
        <f aca="false">COUNTIF(D$5:D$19,"&lt;"&amp;D19)+(COUNTIF(D$5:D$19,D19)+1)/2</f>
        <v>1</v>
      </c>
      <c r="G19" s="30" t="n">
        <f aca="false">COUNTIF(C$5:C$19,"&lt;"&amp;C19)+(COUNTIF(C$5:C$19,C19)+1)/2</f>
        <v>1</v>
      </c>
      <c r="H19" s="30" t="n">
        <f aca="false">COUNTIF(E$5:E$19,"&lt;"&amp;E19)+(COUNTIF(E$5:E$19,E19)+1)/2</f>
        <v>1</v>
      </c>
      <c r="I19" s="30" t="n">
        <f aca="false">COUNTIF(B$5:B$19,"&lt;"&amp;B19)+(COUNTIF(B$5:B$19,B19)+1)/2</f>
        <v>1</v>
      </c>
    </row>
    <row r="21" customFormat="false" ht="15" hidden="false" customHeight="false" outlineLevel="0" collapsed="false">
      <c r="A21" s="18" t="s">
        <v>141</v>
      </c>
    </row>
    <row r="22" customFormat="false" ht="17.15" hidden="false" customHeight="false" outlineLevel="0" collapsed="false">
      <c r="A22" s="31" t="s">
        <v>142</v>
      </c>
      <c r="B22" s="32" t="n">
        <f aca="false">CORREL(F5:F19,G5:G19)</f>
        <v>0.891882585015845</v>
      </c>
      <c r="C22" s="2" t="s">
        <v>143</v>
      </c>
    </row>
    <row r="23" customFormat="false" ht="17.15" hidden="false" customHeight="false" outlineLevel="0" collapsed="false">
      <c r="A23" s="31" t="s">
        <v>144</v>
      </c>
      <c r="B23" s="32" t="n">
        <f aca="false">CORREL(H5:H19,I5:I19)</f>
        <v>0.762339503542561</v>
      </c>
      <c r="C23" s="2" t="s">
        <v>145</v>
      </c>
    </row>
    <row r="24" customFormat="false" ht="15" hidden="false" customHeight="false" outlineLevel="0" collapsed="false">
      <c r="A24" s="2" t="s">
        <v>146</v>
      </c>
    </row>
    <row r="26" customFormat="false" ht="15" hidden="false" customHeight="false" outlineLevel="0" collapsed="false">
      <c r="A26" s="18" t="s">
        <v>147</v>
      </c>
    </row>
    <row r="27" customFormat="false" ht="15" hidden="false" customHeight="false" outlineLevel="0" collapsed="false">
      <c r="A27" s="33" t="s">
        <v>148</v>
      </c>
      <c r="B27" s="34" t="n">
        <v>88</v>
      </c>
      <c r="C27" s="2" t="s">
        <v>149</v>
      </c>
    </row>
    <row r="28" customFormat="false" ht="15" hidden="false" customHeight="false" outlineLevel="0" collapsed="false">
      <c r="A28" s="33" t="s">
        <v>150</v>
      </c>
      <c r="B28" s="35" t="n">
        <f aca="false">评分结果!T11</f>
        <v>86</v>
      </c>
    </row>
    <row r="29" customFormat="false" ht="15" hidden="false" customHeight="false" outlineLevel="0" collapsed="false">
      <c r="A29" s="33" t="s">
        <v>151</v>
      </c>
      <c r="B29" s="34" t="n">
        <v>3</v>
      </c>
      <c r="C29" s="2" t="s">
        <v>152</v>
      </c>
    </row>
    <row r="30" customFormat="false" ht="15" hidden="false" customHeight="false" outlineLevel="0" collapsed="false">
      <c r="A30" s="33" t="s">
        <v>153</v>
      </c>
      <c r="B30" s="36" t="n">
        <f aca="false">B28-B29</f>
        <v>83</v>
      </c>
    </row>
    <row r="31" customFormat="false" ht="15" hidden="false" customHeight="false" outlineLevel="0" collapsed="false">
      <c r="A31" s="33" t="s">
        <v>154</v>
      </c>
      <c r="B31" s="36" t="n">
        <f aca="false">COUNTIF(评分结果!T6:T20,"&gt;"&amp;B30)-IF(B28&gt;B30,1,0)+1</f>
        <v>7</v>
      </c>
      <c r="C31" s="2" t="s">
        <v>155</v>
      </c>
    </row>
    <row r="33" customFormat="false" ht="15" hidden="false" customHeight="false" outlineLevel="0" collapsed="false">
      <c r="A33" s="18" t="s">
        <v>156</v>
      </c>
    </row>
    <row r="34" customFormat="false" ht="31.5" hidden="false" customHeight="true" outlineLevel="0" collapsed="false">
      <c r="A34" s="18" t="s">
        <v>157</v>
      </c>
      <c r="B34" s="37" t="s">
        <v>158</v>
      </c>
      <c r="C34" s="37"/>
      <c r="D34" s="37"/>
      <c r="E34" s="37"/>
      <c r="F34" s="37"/>
      <c r="G34" s="37"/>
      <c r="H34" s="37"/>
      <c r="I34" s="37"/>
    </row>
    <row r="35" customFormat="false" ht="31.5" hidden="false" customHeight="true" outlineLevel="0" collapsed="false">
      <c r="A35" s="18" t="s">
        <v>159</v>
      </c>
      <c r="B35" s="38" t="s">
        <v>160</v>
      </c>
      <c r="C35" s="38"/>
      <c r="D35" s="38"/>
      <c r="E35" s="38"/>
      <c r="F35" s="38"/>
      <c r="G35" s="38"/>
      <c r="H35" s="38"/>
      <c r="I35" s="38"/>
    </row>
    <row r="36" customFormat="false" ht="31.5" hidden="false" customHeight="true" outlineLevel="0" collapsed="false">
      <c r="A36" s="18" t="s">
        <v>161</v>
      </c>
      <c r="B36" s="38" t="s">
        <v>162</v>
      </c>
      <c r="C36" s="38"/>
      <c r="D36" s="38"/>
      <c r="E36" s="38"/>
      <c r="F36" s="38"/>
      <c r="G36" s="38"/>
      <c r="H36" s="38"/>
      <c r="I36" s="38"/>
    </row>
    <row r="37" customFormat="false" ht="31.5" hidden="false" customHeight="true" outlineLevel="0" collapsed="false">
      <c r="A37" s="18" t="s">
        <v>163</v>
      </c>
      <c r="B37" s="38" t="s">
        <v>164</v>
      </c>
      <c r="C37" s="38"/>
      <c r="D37" s="38"/>
      <c r="E37" s="38"/>
      <c r="F37" s="38"/>
      <c r="G37" s="38"/>
      <c r="H37" s="38"/>
      <c r="I37" s="38"/>
    </row>
    <row r="38" customFormat="false" ht="31.5" hidden="false" customHeight="true" outlineLevel="0" collapsed="false">
      <c r="A38" s="18" t="s">
        <v>165</v>
      </c>
      <c r="B38" s="38" t="s">
        <v>166</v>
      </c>
      <c r="C38" s="38"/>
      <c r="D38" s="38"/>
      <c r="E38" s="38"/>
      <c r="F38" s="38"/>
      <c r="G38" s="38"/>
      <c r="H38" s="38"/>
      <c r="I38" s="38"/>
    </row>
  </sheetData>
  <mergeCells count="6">
    <mergeCell ref="A2:I2"/>
    <mergeCell ref="B34:I34"/>
    <mergeCell ref="B35:I35"/>
    <mergeCell ref="B36:I36"/>
    <mergeCell ref="B37:I37"/>
    <mergeCell ref="B38:I3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2026-10-08T03:47:49Z</dcterms:created>
  <dc:creator>openpyxl</dc:creator>
  <dc:description/>
  <dc:language>en-US</dc:language>
  <cp:lastModifiedBy/>
  <dcterms:modified xsi:type="dcterms:W3CDTF">2026-10-08T03:47:49Z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